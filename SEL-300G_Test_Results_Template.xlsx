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Equip &amp; Refs" sheetId="2" state="visible" r:id="rId2"/>
    <sheet xmlns:r="http://schemas.openxmlformats.org/officeDocument/2006/relationships" name="3. Pre-Test" sheetId="3" state="visible" r:id="rId3"/>
    <sheet xmlns:r="http://schemas.openxmlformats.org/officeDocument/2006/relationships" name="4. Analogue Inputs" sheetId="4" state="visible" r:id="rId4"/>
    <sheet xmlns:r="http://schemas.openxmlformats.org/officeDocument/2006/relationships" name="5. Binary IO" sheetId="5" state="visible" r:id="rId5"/>
    <sheet xmlns:r="http://schemas.openxmlformats.org/officeDocument/2006/relationships" name="6. Element Tracker" sheetId="6" state="visible" r:id="rId6"/>
    <sheet xmlns:r="http://schemas.openxmlformats.org/officeDocument/2006/relationships" name="7. Element Results" sheetId="7" state="visible" r:id="rId7"/>
    <sheet xmlns:r="http://schemas.openxmlformats.org/officeDocument/2006/relationships" name="8. Post-Test" sheetId="8" state="visible" r:id="rId8"/>
    <sheet xmlns:r="http://schemas.openxmlformats.org/officeDocument/2006/relationships" name="9. Files &amp; Sign-Off" sheetId="9" state="visible" r:id="rId9"/>
  </sheets>
  <definedNames>
    <definedName name="Ratio_CTneut" hidden="0" function="0" vbProcedure="0">'1. Cover'!$E$45</definedName>
    <definedName name="Ratio_CTneut_pri" hidden="0" function="0" vbProcedure="0">'1. Cover'!$C$45</definedName>
    <definedName name="Ratio_CTneut_sec" hidden="0" function="0" vbProcedure="0">'1. Cover'!$D$45</definedName>
    <definedName name="Ratio_CTstator" hidden="0" function="0" vbProcedure="0">'1. Cover'!$E$44</definedName>
    <definedName name="Ratio_CTstator_pri" hidden="0" function="0" vbProcedure="0">'1. Cover'!$C$44</definedName>
    <definedName name="Ratio_CTstator_sec" hidden="0" function="0" vbProcedure="0">'1. Cover'!$D$44</definedName>
    <definedName name="Ratio_VTmain" hidden="0" function="0" vbProcedure="0">'1. Cover'!$E$42</definedName>
    <definedName name="Ratio_VTmain_pri" hidden="0" function="0" vbProcedure="0">'1. Cover'!$C$42</definedName>
    <definedName name="Ratio_VTmain_sec" hidden="0" function="0" vbProcedure="0">'1. Cover'!$D$42</definedName>
    <definedName name="Ratio_VTneut" hidden="0" function="0" vbProcedure="0">'1. Cover'!$E$43</definedName>
    <definedName name="Ratio_VTneut_pri" hidden="0" function="0" vbProcedure="0">'1. Cover'!$C$43</definedName>
    <definedName name="Ratio_VTneut_sec" hidden="0" function="0" vbProcedure="0">'1. Cover'!$D$43</definedName>
    <definedName name="TolAngle_deg" hidden="0" function="0" vbProcedure="0">'1. Cover'!$C$50</definedName>
    <definedName name="TolI_pct" hidden="0" function="0" vbProcedure="0">'1. Cover'!$C$49</definedName>
    <definedName name="TolPickup_pct" hidden="0" function="0" vbProcedure="0">'1. Cover'!$C$51</definedName>
    <definedName name="TolTime_pct" hidden="0" function="0" vbProcedure="0">'1. Cover'!$C$52</definedName>
    <definedName name="TolV_pct" hidden="0" function="0" vbProcedure="0">'1. Cover'!$C$48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0.00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8"/>
    </font>
    <font>
      <name val="Calibri"/>
      <charset val="1"/>
      <family val="0"/>
      <i val="1"/>
      <color rgb="FF595959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sz val="11"/>
    </font>
    <font>
      <name val="Calibri"/>
      <charset val="1"/>
      <family val="0"/>
      <color rgb="FF0000FF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color rgb="FF0563C1"/>
      <sz val="10"/>
      <u val="single"/>
    </font>
    <font>
      <name val="Calibri"/>
      <charset val="1"/>
      <family val="0"/>
      <sz val="10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2" applyAlignment="1" pivotButton="0" quotePrefix="0" xfId="0">
      <alignment horizontal="center" vertical="center"/>
    </xf>
    <xf numFmtId="164" fontId="9" fillId="5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left" vertical="top" wrapText="1" indent="1"/>
    </xf>
    <xf numFmtId="0" fontId="9" fillId="5" borderId="1" applyAlignment="1" pivotButton="0" quotePrefix="0" xfId="0">
      <alignment horizontal="left" vertical="center" wrapText="1" indent="1"/>
    </xf>
    <xf numFmtId="0" fontId="10" fillId="2" borderId="2" applyAlignment="1" pivotButton="0" quotePrefix="0" xfId="0">
      <alignment horizontal="center" vertical="center" wrapText="1"/>
    </xf>
    <xf numFmtId="1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center" wrapText="1" indent="1"/>
    </xf>
    <xf numFmtId="164" fontId="9" fillId="5" borderId="1" applyAlignment="1" pivotButton="0" quotePrefix="0" xfId="0">
      <alignment horizontal="center" vertical="center" wrapText="1" indent="1"/>
    </xf>
    <xf numFmtId="0" fontId="9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 indent="1"/>
    </xf>
    <xf numFmtId="164" fontId="9" fillId="4" borderId="1" applyAlignment="1" pivotButton="0" quotePrefix="0" xfId="0">
      <alignment horizontal="center" vertical="center" wrapText="1" indent="1"/>
    </xf>
    <xf numFmtId="0" fontId="14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9" fillId="5" borderId="1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7" fillId="3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left" vertical="top" wrapText="1" indent="1"/>
    </xf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9" fillId="5" borderId="1" applyAlignment="1" pivotButton="0" quotePrefix="0" xfId="0">
      <alignment horizontal="left" vertical="center" wrapText="1" indent="1"/>
    </xf>
    <xf numFmtId="0" fontId="10" fillId="2" borderId="2" applyAlignment="1" pivotButton="0" quotePrefix="0" xfId="0">
      <alignment horizontal="center" vertical="center" wrapText="1"/>
    </xf>
    <xf numFmtId="1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center" wrapText="1" indent="1"/>
    </xf>
    <xf numFmtId="164" fontId="9" fillId="5" borderId="1" applyAlignment="1" pivotButton="0" quotePrefix="0" xfId="0">
      <alignment horizontal="center" vertical="center" wrapText="1" indent="1"/>
    </xf>
    <xf numFmtId="0" fontId="9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 indent="1"/>
    </xf>
    <xf numFmtId="164" fontId="9" fillId="4" borderId="1" applyAlignment="1" pivotButton="0" quotePrefix="0" xfId="0">
      <alignment horizontal="center" vertical="center" wrapText="1" indent="1"/>
    </xf>
    <xf numFmtId="0" fontId="14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1</col>
      <colOff>1904760</colOff>
      <row>0</row>
      <rowOff>694800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20" y="0"/>
          <a:ext cx="1904760" cy="694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harepoint.contactenergy.co.nz/" TargetMode="External" Id="rId1"/><Relationship Type="http://schemas.openxmlformats.org/officeDocument/2006/relationships/hyperlink" Target="https://sharepoint.contactenergy.co.nz/" TargetMode="External" Id="rId2"/><Relationship Type="http://schemas.openxmlformats.org/officeDocument/2006/relationships/hyperlink" Target="https://sharepoint.contactenergy.co.nz/" TargetMode="External" Id="rId3"/><Relationship Type="http://schemas.openxmlformats.org/officeDocument/2006/relationships/hyperlink" Target="https://sharepoint.contactenergy.co.nz/" TargetMode="External" Id="rId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G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28" customWidth="1" style="40" min="2" max="2"/>
    <col width="22" customWidth="1" style="40" min="3" max="7"/>
  </cols>
  <sheetData>
    <row r="1" ht="55.5" customHeight="1" s="41"/>
    <row r="2" ht="22.05" customHeight="1" s="41">
      <c r="D2" s="42" t="inlineStr">
        <is>
          <t>PROTECTION RELAY TEST RESULTS</t>
        </is>
      </c>
    </row>
    <row r="3" ht="15" customHeight="1" s="41">
      <c r="D3" s="43" t="inlineStr">
        <is>
          <t>SEL-300G Generator Protection Relay — Live Results Template</t>
        </is>
      </c>
    </row>
    <row r="4" ht="21.75" customHeight="1" s="41">
      <c r="B4" s="44" t="inlineStr">
        <is>
          <t>Test Summary &amp; Findings (filled in at end of visit)</t>
        </is>
      </c>
    </row>
    <row r="5" ht="24" customHeight="1" s="41">
      <c r="B5" s="45" t="inlineStr">
        <is>
          <t>Overall outcome</t>
        </is>
      </c>
      <c r="C5" s="46" t="n"/>
      <c r="D5" s="47" t="n"/>
      <c r="E5" s="47" t="n"/>
      <c r="F5" s="47" t="n"/>
      <c r="G5" s="48" t="n"/>
    </row>
    <row r="6" ht="19.5" customHeight="1" s="41">
      <c r="B6" s="45" t="inlineStr">
        <is>
          <t>Test completion date</t>
        </is>
      </c>
      <c r="C6" s="49" t="n"/>
      <c r="D6" s="50" t="n"/>
      <c r="E6" s="50" t="n"/>
      <c r="F6" s="50" t="n"/>
      <c r="G6" s="51" t="n"/>
    </row>
    <row r="7" ht="18" customHeight="1" s="41">
      <c r="B7" s="52" t="inlineStr">
        <is>
          <t>Summary &amp; Findings</t>
        </is>
      </c>
      <c r="C7" s="53" t="n"/>
      <c r="D7" s="54" t="n"/>
      <c r="E7" s="54" t="n"/>
      <c r="F7" s="54" t="n"/>
      <c r="G7" s="55" t="n"/>
    </row>
    <row r="8" ht="18" customHeight="1" s="41">
      <c r="B8" s="56" t="n"/>
      <c r="C8" s="57" t="n"/>
      <c r="G8" s="58" t="n"/>
    </row>
    <row r="9" ht="18" customHeight="1" s="41">
      <c r="B9" s="56" t="n"/>
      <c r="C9" s="57" t="n"/>
      <c r="G9" s="58" t="n"/>
    </row>
    <row r="10" ht="18" customHeight="1" s="41">
      <c r="B10" s="56" t="n"/>
      <c r="C10" s="57" t="n"/>
      <c r="G10" s="58" t="n"/>
    </row>
    <row r="11" ht="18" customHeight="1" s="41">
      <c r="B11" s="56" t="n"/>
      <c r="C11" s="57" t="n"/>
      <c r="G11" s="58" t="n"/>
    </row>
    <row r="12" ht="18" customHeight="1" s="41">
      <c r="B12" s="59" t="n"/>
      <c r="C12" s="60" t="n"/>
      <c r="D12" s="61" t="n"/>
      <c r="E12" s="61" t="n"/>
      <c r="F12" s="61" t="n"/>
      <c r="G12" s="62" t="n"/>
    </row>
    <row r="14" ht="21.75" customHeight="1" s="41">
      <c r="B14" s="44" t="inlineStr">
        <is>
          <t>Test Information</t>
        </is>
      </c>
    </row>
    <row r="15" ht="19.5" customHeight="1" s="41">
      <c r="B15" s="45" t="inlineStr">
        <is>
          <t>Site / Power station</t>
        </is>
      </c>
      <c r="C15" s="63" t="n"/>
      <c r="D15" s="50" t="n"/>
      <c r="E15" s="50" t="n"/>
      <c r="F15" s="50" t="n"/>
      <c r="G15" s="51" t="n"/>
    </row>
    <row r="16" ht="19.5" customHeight="1" s="41">
      <c r="B16" s="45" t="inlineStr">
        <is>
          <t>Asset identifier (line / generator / unit)</t>
        </is>
      </c>
      <c r="C16" s="63" t="n"/>
      <c r="D16" s="50" t="n"/>
      <c r="E16" s="50" t="n"/>
      <c r="F16" s="50" t="n"/>
      <c r="G16" s="51" t="n"/>
    </row>
    <row r="17" ht="19.5" customHeight="1" s="41">
      <c r="B17" s="45" t="inlineStr">
        <is>
          <t>Work order / Job number</t>
        </is>
      </c>
      <c r="C17" s="63" t="n"/>
      <c r="D17" s="50" t="n"/>
      <c r="E17" s="50" t="n"/>
      <c r="F17" s="50" t="n"/>
      <c r="G17" s="51" t="n"/>
    </row>
    <row r="18" ht="19.5" customHeight="1" s="41">
      <c r="B18" s="45" t="inlineStr">
        <is>
          <t>Reason for test</t>
        </is>
      </c>
      <c r="C18" s="63" t="inlineStr">
        <is>
          <t>Routine</t>
        </is>
      </c>
      <c r="D18" s="50" t="n"/>
      <c r="E18" s="50" t="n"/>
      <c r="F18" s="50" t="n"/>
      <c r="G18" s="51" t="n"/>
    </row>
    <row r="19" ht="19.5" customHeight="1" s="41">
      <c r="B19" s="45" t="inlineStr">
        <is>
          <t>Test date (start)</t>
        </is>
      </c>
      <c r="C19" s="63" t="n"/>
      <c r="D19" s="50" t="n"/>
      <c r="E19" s="50" t="n"/>
      <c r="F19" s="50" t="n"/>
      <c r="G19" s="51" t="n"/>
    </row>
    <row r="20" ht="19.5" customHeight="1" s="41">
      <c r="B20" s="45" t="inlineStr">
        <is>
          <t>Test date (finish)</t>
        </is>
      </c>
      <c r="C20" s="63" t="n"/>
      <c r="D20" s="50" t="n"/>
      <c r="E20" s="50" t="n"/>
      <c r="F20" s="50" t="n"/>
      <c r="G20" s="51" t="n"/>
    </row>
    <row r="22" ht="21.75" customHeight="1" s="41">
      <c r="B22" s="44" t="inlineStr">
        <is>
          <t>Personnel</t>
        </is>
      </c>
    </row>
    <row r="23" ht="19.5" customHeight="1" s="41">
      <c r="B23" s="45" t="inlineStr">
        <is>
          <t>Tester (name)</t>
        </is>
      </c>
      <c r="C23" s="63" t="n"/>
      <c r="D23" s="50" t="n"/>
      <c r="E23" s="50" t="n"/>
      <c r="F23" s="50" t="n"/>
      <c r="G23" s="51" t="n"/>
    </row>
    <row r="24" ht="19.5" customHeight="1" s="41">
      <c r="B24" s="45" t="inlineStr">
        <is>
          <t>Tester signature</t>
        </is>
      </c>
      <c r="C24" s="63" t="n"/>
      <c r="D24" s="50" t="n"/>
      <c r="E24" s="50" t="n"/>
      <c r="F24" s="50" t="n"/>
      <c r="G24" s="51" t="n"/>
    </row>
    <row r="25" ht="19.5" customHeight="1" s="41">
      <c r="B25" s="45" t="inlineStr">
        <is>
          <t>Witness / 2nd person</t>
        </is>
      </c>
      <c r="C25" s="63" t="n"/>
      <c r="D25" s="50" t="n"/>
      <c r="E25" s="50" t="n"/>
      <c r="F25" s="50" t="n"/>
      <c r="G25" s="51" t="n"/>
    </row>
    <row r="26" ht="19.5" customHeight="1" s="41">
      <c r="B26" s="45" t="inlineStr">
        <is>
          <t>Witness signature</t>
        </is>
      </c>
      <c r="C26" s="63" t="n"/>
      <c r="D26" s="50" t="n"/>
      <c r="E26" s="50" t="n"/>
      <c r="F26" s="50" t="n"/>
      <c r="G26" s="51" t="n"/>
    </row>
    <row r="27" ht="19.5" customHeight="1" s="41">
      <c r="B27" s="45" t="inlineStr">
        <is>
          <t>Authorising engineer</t>
        </is>
      </c>
      <c r="C27" s="63" t="n"/>
      <c r="D27" s="50" t="n"/>
      <c r="E27" s="50" t="n"/>
      <c r="F27" s="50" t="n"/>
      <c r="G27" s="51" t="n"/>
    </row>
    <row r="29" ht="21.75" customHeight="1" s="41">
      <c r="B29" s="44" t="inlineStr">
        <is>
          <t>Relay Under Test</t>
        </is>
      </c>
    </row>
    <row r="30" ht="19.5" customHeight="1" s="41">
      <c r="B30" s="45" t="inlineStr">
        <is>
          <t>Relay model</t>
        </is>
      </c>
      <c r="C30" s="63" t="inlineStr">
        <is>
          <t>SEL-300G</t>
        </is>
      </c>
      <c r="D30" s="50" t="n"/>
      <c r="E30" s="50" t="n"/>
      <c r="F30" s="50" t="n"/>
      <c r="G30" s="51" t="n"/>
    </row>
    <row r="31" ht="19.5" customHeight="1" s="41">
      <c r="B31" s="45" t="inlineStr">
        <is>
          <t>Relay tag / functional ID</t>
        </is>
      </c>
      <c r="C31" s="63" t="n"/>
      <c r="D31" s="50" t="n"/>
      <c r="E31" s="50" t="n"/>
      <c r="F31" s="50" t="n"/>
      <c r="G31" s="51" t="n"/>
    </row>
    <row r="32" ht="19.5" customHeight="1" s="41">
      <c r="B32" s="45" t="inlineStr">
        <is>
          <t>Serial number</t>
        </is>
      </c>
      <c r="C32" s="63" t="n"/>
      <c r="D32" s="50" t="n"/>
      <c r="E32" s="50" t="n"/>
      <c r="F32" s="50" t="n"/>
      <c r="G32" s="51" t="n"/>
    </row>
    <row r="33" ht="19.5" customHeight="1" s="41">
      <c r="B33" s="45" t="inlineStr">
        <is>
          <t>Firmware (FID) version</t>
        </is>
      </c>
      <c r="C33" s="63" t="n"/>
      <c r="D33" s="50" t="n"/>
      <c r="E33" s="50" t="n"/>
      <c r="F33" s="50" t="n"/>
      <c r="G33" s="51" t="n"/>
    </row>
    <row r="34" ht="19.5" customHeight="1" s="41">
      <c r="B34" s="45" t="inlineStr">
        <is>
          <t>Part number</t>
        </is>
      </c>
      <c r="C34" s="63" t="n"/>
      <c r="D34" s="50" t="n"/>
      <c r="E34" s="50" t="n"/>
      <c r="F34" s="50" t="n"/>
      <c r="G34" s="51" t="n"/>
    </row>
    <row r="35" ht="19.5" customHeight="1" s="41">
      <c r="B35" s="45" t="inlineStr">
        <is>
          <t>Panel / cubicle location</t>
        </is>
      </c>
      <c r="C35" s="63" t="n"/>
      <c r="D35" s="50" t="n"/>
      <c r="E35" s="50" t="n"/>
      <c r="F35" s="50" t="n"/>
      <c r="G35" s="51" t="n"/>
    </row>
    <row r="36" ht="19.5" customHeight="1" s="41">
      <c r="B36" s="45" t="inlineStr">
        <is>
          <t>Active settings group</t>
        </is>
      </c>
      <c r="C36" s="63" t="n"/>
      <c r="D36" s="50" t="n"/>
      <c r="E36" s="50" t="n"/>
      <c r="F36" s="50" t="n"/>
      <c r="G36" s="51" t="n"/>
    </row>
    <row r="37" ht="19.5" customHeight="1" s="41">
      <c r="B37" s="45" t="inlineStr">
        <is>
          <t>Breaker arrangement / unit type</t>
        </is>
      </c>
      <c r="C37" s="63" t="n"/>
      <c r="D37" s="50" t="n"/>
      <c r="E37" s="50" t="n"/>
      <c r="F37" s="50" t="n"/>
      <c r="G37" s="51" t="n"/>
    </row>
    <row r="38" ht="19.5" customHeight="1" s="41">
      <c r="B38" s="45" t="inlineStr">
        <is>
          <t>Notes</t>
        </is>
      </c>
      <c r="C38" s="63" t="n"/>
      <c r="D38" s="50" t="n"/>
      <c r="E38" s="50" t="n"/>
      <c r="F38" s="50" t="n"/>
      <c r="G38" s="51" t="n"/>
    </row>
    <row r="40" ht="21.75" customHeight="1" s="41">
      <c r="B40" s="44" t="inlineStr">
        <is>
          <t>CT / VT Ratios (primary : secondary)  —  drives Expected Primary in analogue tables</t>
        </is>
      </c>
    </row>
    <row r="41" ht="21.75" customHeight="1" s="41">
      <c r="B41" s="64" t="inlineStr">
        <is>
          <t>Ratio</t>
        </is>
      </c>
      <c r="C41" s="64" t="inlineStr">
        <is>
          <t>Primary</t>
        </is>
      </c>
      <c r="D41" s="64" t="inlineStr">
        <is>
          <t>Secondary</t>
        </is>
      </c>
      <c r="E41" s="64" t="inlineStr">
        <is>
          <t>Ratio (P/S)</t>
        </is>
      </c>
      <c r="F41" s="64" t="inlineStr">
        <is>
          <t>Unit (V/A)</t>
        </is>
      </c>
      <c r="G41" s="48" t="n"/>
    </row>
    <row r="42" ht="19.5" customHeight="1" s="41">
      <c r="B42" s="45" t="inlineStr">
        <is>
          <t>Main VT (line-N)</t>
        </is>
      </c>
      <c r="C42" s="65" t="n">
        <v>11000</v>
      </c>
      <c r="D42" s="66" t="n">
        <v>63.5</v>
      </c>
      <c r="E42" s="67">
        <f>IFERROR(C42/D42,"")</f>
        <v/>
      </c>
      <c r="F42" s="63" t="inlineStr">
        <is>
          <t>V or A</t>
        </is>
      </c>
      <c r="G42" s="51" t="n"/>
    </row>
    <row r="43" ht="19.5" customHeight="1" s="41">
      <c r="B43" s="45" t="inlineStr">
        <is>
          <t>Neutral VT (3V0)</t>
        </is>
      </c>
      <c r="C43" s="65" t="n">
        <v>11000</v>
      </c>
      <c r="D43" s="66" t="n">
        <v>110</v>
      </c>
      <c r="E43" s="67">
        <f>IFERROR(C43/D43,"")</f>
        <v/>
      </c>
      <c r="F43" s="63" t="inlineStr">
        <is>
          <t>V or A</t>
        </is>
      </c>
      <c r="G43" s="51" t="n"/>
    </row>
    <row r="44" ht="19.5" customHeight="1" s="41">
      <c r="B44" s="45" t="inlineStr">
        <is>
          <t>Stator-side CT</t>
        </is>
      </c>
      <c r="C44" s="65" t="n">
        <v>1000</v>
      </c>
      <c r="D44" s="66" t="n">
        <v>5</v>
      </c>
      <c r="E44" s="67">
        <f>IFERROR(C44/D44,"")</f>
        <v/>
      </c>
      <c r="F44" s="63" t="inlineStr">
        <is>
          <t>V or A</t>
        </is>
      </c>
      <c r="G44" s="51" t="n"/>
    </row>
    <row r="45" ht="19.5" customHeight="1" s="41">
      <c r="B45" s="45" t="inlineStr">
        <is>
          <t>Neutral-side CT</t>
        </is>
      </c>
      <c r="C45" s="65" t="n">
        <v>1000</v>
      </c>
      <c r="D45" s="66" t="n">
        <v>5</v>
      </c>
      <c r="E45" s="67">
        <f>IFERROR(C45/D45,"")</f>
        <v/>
      </c>
      <c r="F45" s="63" t="inlineStr">
        <is>
          <t>V or A</t>
        </is>
      </c>
      <c r="G45" s="51" t="n"/>
    </row>
    <row r="47" ht="21.75" customHeight="1" s="41">
      <c r="B47" s="44" t="inlineStr">
        <is>
          <t>Test Tolerances (drives auto pass/fail)</t>
        </is>
      </c>
    </row>
    <row r="48" ht="19.5" customHeight="1" s="41">
      <c r="B48" s="45" t="inlineStr">
        <is>
          <t>Voltage magnitude tolerance (%)</t>
        </is>
      </c>
      <c r="C48" s="68" t="n">
        <v>1</v>
      </c>
      <c r="D48" s="69" t="n"/>
      <c r="E48" s="50" t="n"/>
      <c r="F48" s="50" t="n"/>
      <c r="G48" s="51" t="n"/>
    </row>
    <row r="49" ht="19.5" customHeight="1" s="41">
      <c r="B49" s="45" t="inlineStr">
        <is>
          <t>Current magnitude tolerance (%)</t>
        </is>
      </c>
      <c r="C49" s="68" t="n">
        <v>1</v>
      </c>
      <c r="D49" s="69" t="n"/>
      <c r="E49" s="50" t="n"/>
      <c r="F49" s="50" t="n"/>
      <c r="G49" s="51" t="n"/>
    </row>
    <row r="50" ht="19.5" customHeight="1" s="41">
      <c r="B50" s="45" t="inlineStr">
        <is>
          <t>Phase angle tolerance (°)</t>
        </is>
      </c>
      <c r="C50" s="68" t="n">
        <v>1</v>
      </c>
      <c r="D50" s="69" t="n"/>
      <c r="E50" s="50" t="n"/>
      <c r="F50" s="50" t="n"/>
      <c r="G50" s="51" t="n"/>
    </row>
    <row r="51" ht="19.5" customHeight="1" s="41">
      <c r="B51" s="45" t="inlineStr">
        <is>
          <t>Element pickup tolerance (%)</t>
        </is>
      </c>
      <c r="C51" s="68" t="n">
        <v>5</v>
      </c>
      <c r="D51" s="69" t="n"/>
      <c r="E51" s="50" t="n"/>
      <c r="F51" s="50" t="n"/>
      <c r="G51" s="51" t="n"/>
    </row>
    <row r="52" ht="19.5" customHeight="1" s="41">
      <c r="B52" s="45" t="inlineStr">
        <is>
          <t>Element timing tolerance (%)</t>
        </is>
      </c>
      <c r="C52" s="68" t="n">
        <v>5</v>
      </c>
      <c r="D52" s="69" t="n"/>
      <c r="E52" s="50" t="n"/>
      <c r="F52" s="50" t="n"/>
      <c r="G52" s="51" t="n"/>
    </row>
    <row r="54" ht="21.75" customHeight="1" s="41">
      <c r="B54" s="44" t="inlineStr">
        <is>
          <t>Auto-rolled-up status (calculated)</t>
        </is>
      </c>
    </row>
    <row r="55" ht="15" customHeight="1" s="41">
      <c r="B55" s="45" t="inlineStr">
        <is>
          <t>Analogue inputs</t>
        </is>
      </c>
      <c r="C55" s="70">
        <f>IF(COUNTIF('4. Analogue Inputs'!$K$1:$K$300,"FAIL")&gt;0,"FAIL",IF(COUNTIF('4. Analogue Inputs'!$K$1:$K$300,"PASS")&gt;0,"PASS",""))</f>
        <v/>
      </c>
      <c r="D55" s="50" t="n"/>
      <c r="E55" s="50" t="n"/>
      <c r="F55" s="50" t="n"/>
      <c r="G55" s="51" t="n"/>
    </row>
    <row r="56" ht="15" customHeight="1" s="41">
      <c r="B56" s="45" t="inlineStr">
        <is>
          <t>Element tests</t>
        </is>
      </c>
      <c r="C56" s="70">
        <f>IF(COUNTIF('7. Element Results'!$L$1:$L$300,"FAIL")&gt;0,"FAIL",IF(COUNTIF('7. Element Results'!$L$1:$L$300,"PASS")&gt;0,"PASS",""))</f>
        <v/>
      </c>
      <c r="D56" s="50" t="n"/>
      <c r="E56" s="50" t="n"/>
      <c r="F56" s="50" t="n"/>
      <c r="G56" s="51" t="n"/>
    </row>
    <row r="57" ht="15" customHeight="1" s="41">
      <c r="B57" s="45" t="inlineStr">
        <is>
          <t>Auto overall</t>
        </is>
      </c>
      <c r="C57" s="70">
        <f>IF(OR(C55="FAIL",C56="FAIL"),"FAIL",IF(AND(C55="PASS",C56="PASS"),"PASS","INCOMPLETE"))</f>
        <v/>
      </c>
      <c r="D57" s="50" t="n"/>
      <c r="E57" s="50" t="n"/>
      <c r="F57" s="50" t="n"/>
      <c r="G57" s="51" t="n"/>
    </row>
    <row r="59" ht="15" customHeight="1" s="41">
      <c r="B59" s="71" t="inlineStr">
        <is>
          <t>Legend: blue text = user input.  Grey/auto cells are calculated.  Yellow tolerance cells drive PASS/FAIL.</t>
        </is>
      </c>
    </row>
  </sheetData>
  <mergeCells count="47">
    <mergeCell ref="C30:G30"/>
    <mergeCell ref="D3:G3"/>
    <mergeCell ref="C34:G34"/>
    <mergeCell ref="C6:G6"/>
    <mergeCell ref="B14:G14"/>
    <mergeCell ref="C24:G24"/>
    <mergeCell ref="B7:B12"/>
    <mergeCell ref="C15:G15"/>
    <mergeCell ref="C33:G33"/>
    <mergeCell ref="C5:G5"/>
    <mergeCell ref="D51:G51"/>
    <mergeCell ref="B29:G29"/>
    <mergeCell ref="C26:G26"/>
    <mergeCell ref="C35:G35"/>
    <mergeCell ref="C20:G20"/>
    <mergeCell ref="D50:G50"/>
    <mergeCell ref="C16:G16"/>
    <mergeCell ref="C25:G25"/>
    <mergeCell ref="F45:G45"/>
    <mergeCell ref="B40:G40"/>
    <mergeCell ref="F42:G42"/>
    <mergeCell ref="C31:G31"/>
    <mergeCell ref="C55:G55"/>
    <mergeCell ref="F41:G41"/>
    <mergeCell ref="C56:G56"/>
    <mergeCell ref="C7:G12"/>
    <mergeCell ref="D52:G52"/>
    <mergeCell ref="C27:G27"/>
    <mergeCell ref="B4:G4"/>
    <mergeCell ref="C36:G36"/>
    <mergeCell ref="D49:G49"/>
    <mergeCell ref="C23:G23"/>
    <mergeCell ref="D2:G2"/>
    <mergeCell ref="C17:G17"/>
    <mergeCell ref="F43:G43"/>
    <mergeCell ref="B47:G47"/>
    <mergeCell ref="B54:G54"/>
    <mergeCell ref="D48:G48"/>
    <mergeCell ref="B59:G59"/>
    <mergeCell ref="B22:G22"/>
    <mergeCell ref="C32:G32"/>
    <mergeCell ref="C38:G38"/>
    <mergeCell ref="C19:G19"/>
    <mergeCell ref="C37:G37"/>
    <mergeCell ref="C57:G57"/>
    <mergeCell ref="C18:G18"/>
    <mergeCell ref="F44:G44"/>
  </mergeCells>
  <conditionalFormatting sqref="C5:G5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conditionalFormatting sqref="C55:G57">
    <cfRule type="cellIs" rank="0" priority="4" equalAverage="0" operator="equal" aboveAverage="0" dxfId="0" text="" percent="0" bottom="0">
      <formula>"PASS"</formula>
    </cfRule>
    <cfRule type="cellIs" rank="0" priority="5" equalAverage="0" operator="equal" aboveAverage="0" dxfId="1" text="" percent="0" bottom="0">
      <formula>"FAIL"</formula>
    </cfRule>
  </conditionalFormatting>
  <dataValidations count="2">
    <dataValidation sqref="C5" showDropDown="0" showInputMessage="0" showErrorMessage="0" allowBlank="1" type="list" errorStyle="stop" operator="between">
      <formula1>"PASS,PASS WITH NOTES,FAIL"</formula1>
      <formula2>0</formula2>
    </dataValidation>
    <dataValidation sqref="C18" showDropDown="0" showInputMessage="0" showErrorMessage="0" allowBlank="1" type="list" errorStyle="stop" operator="between">
      <formula1>"Routine,Commissioning,Post-fault,Modification,Other"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G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28" customWidth="1" style="40" min="2" max="3"/>
    <col width="20" customWidth="1" style="40" min="4" max="4"/>
    <col width="18" customWidth="1" style="40" min="5" max="7"/>
  </cols>
  <sheetData>
    <row r="2" ht="22.05" customHeight="1" s="41">
      <c r="B2" s="42" t="inlineStr">
        <is>
          <t>Test Equipment, Drawings &amp; Reference Documents</t>
        </is>
      </c>
    </row>
    <row r="4" ht="21.75" customHeight="1" s="41">
      <c r="B4" s="44" t="inlineStr">
        <is>
          <t>Test Equipment Used</t>
        </is>
      </c>
    </row>
    <row r="5" ht="21.75" customHeight="1" s="41">
      <c r="B5" s="64" t="inlineStr">
        <is>
          <t>Equipment</t>
        </is>
      </c>
      <c r="C5" s="64" t="inlineStr">
        <is>
          <t>Make / Model</t>
        </is>
      </c>
      <c r="D5" s="64" t="inlineStr">
        <is>
          <t>Serial No.</t>
        </is>
      </c>
      <c r="E5" s="64" t="inlineStr">
        <is>
          <t>Last Cal. Date</t>
        </is>
      </c>
      <c r="F5" s="64" t="inlineStr">
        <is>
          <t>Cal. Due</t>
        </is>
      </c>
      <c r="G5" s="64" t="inlineStr">
        <is>
          <t>Cal. Cert. No.</t>
        </is>
      </c>
    </row>
    <row r="6" ht="15" customHeight="1" s="41">
      <c r="B6" s="63" t="inlineStr">
        <is>
          <t>Three-phase test set</t>
        </is>
      </c>
      <c r="C6" s="63" t="inlineStr">
        <is>
          <t>Omicron CMC</t>
        </is>
      </c>
      <c r="D6" s="72" t="n"/>
      <c r="E6" s="73" t="n"/>
      <c r="F6" s="73" t="n"/>
      <c r="G6" s="63" t="n"/>
    </row>
    <row r="7" ht="15" customHeight="1" s="41">
      <c r="B7" s="74" t="inlineStr">
        <is>
          <t>Laptop / SEL AcSELerator</t>
        </is>
      </c>
      <c r="C7" s="74" t="n"/>
      <c r="D7" s="75" t="inlineStr">
        <is>
          <t>N/A</t>
        </is>
      </c>
      <c r="E7" s="76" t="inlineStr">
        <is>
          <t>N/A</t>
        </is>
      </c>
      <c r="F7" s="76" t="inlineStr">
        <is>
          <t>N/A</t>
        </is>
      </c>
      <c r="G7" s="74" t="inlineStr">
        <is>
          <t>N/A</t>
        </is>
      </c>
    </row>
    <row r="8" ht="15" customHeight="1" s="41">
      <c r="B8" s="63" t="inlineStr">
        <is>
          <t>Multimeter</t>
        </is>
      </c>
      <c r="C8" s="63" t="n"/>
      <c r="D8" s="72" t="n"/>
      <c r="E8" s="73" t="n"/>
      <c r="F8" s="73" t="n"/>
      <c r="G8" s="63" t="n"/>
    </row>
    <row r="9" ht="15" customHeight="1" s="41">
      <c r="B9" s="74" t="n"/>
      <c r="C9" s="74" t="n"/>
      <c r="D9" s="75" t="n"/>
      <c r="E9" s="76" t="n"/>
      <c r="F9" s="76" t="n"/>
      <c r="G9" s="74" t="n"/>
    </row>
    <row r="10" ht="15" customHeight="1" s="41">
      <c r="B10" s="63" t="n"/>
      <c r="C10" s="63" t="n"/>
      <c r="D10" s="72" t="n"/>
      <c r="E10" s="73" t="n"/>
      <c r="F10" s="73" t="n"/>
      <c r="G10" s="63" t="n"/>
    </row>
    <row r="13" ht="21.75" customHeight="1" s="41">
      <c r="B13" s="44" t="inlineStr">
        <is>
          <t>Reference Drawings</t>
        </is>
      </c>
    </row>
    <row r="14" ht="21.75" customHeight="1" s="41">
      <c r="B14" s="64" t="inlineStr">
        <is>
          <t>Drawing No.</t>
        </is>
      </c>
      <c r="C14" s="64" t="inlineStr">
        <is>
          <t>Title</t>
        </is>
      </c>
      <c r="D14" s="64" t="inlineStr">
        <is>
          <t>Revision</t>
        </is>
      </c>
      <c r="E14" s="64" t="inlineStr">
        <is>
          <t>Date</t>
        </is>
      </c>
      <c r="F14" s="64" t="inlineStr">
        <is>
          <t>Notes</t>
        </is>
      </c>
      <c r="G14" s="64" t="n"/>
    </row>
    <row r="15" ht="15" customHeight="1" s="41">
      <c r="B15" s="63" t="n"/>
      <c r="C15" s="63" t="inlineStr">
        <is>
          <t>Single line diagram</t>
        </is>
      </c>
      <c r="D15" s="72" t="n"/>
      <c r="E15" s="73" t="n"/>
      <c r="F15" s="63" t="n"/>
      <c r="G15" s="63" t="n"/>
    </row>
    <row r="16" ht="15" customHeight="1" s="41">
      <c r="B16" s="74" t="n"/>
      <c r="C16" s="74" t="inlineStr">
        <is>
          <t>Schematic — protection AC</t>
        </is>
      </c>
      <c r="D16" s="75" t="n"/>
      <c r="E16" s="76" t="n"/>
      <c r="F16" s="74" t="n"/>
      <c r="G16" s="74" t="n"/>
    </row>
    <row r="17" ht="15" customHeight="1" s="41">
      <c r="B17" s="63" t="n"/>
      <c r="C17" s="63" t="inlineStr">
        <is>
          <t>Schematic — protection DC / trip</t>
        </is>
      </c>
      <c r="D17" s="72" t="n"/>
      <c r="E17" s="73" t="n"/>
      <c r="F17" s="63" t="n"/>
      <c r="G17" s="63" t="n"/>
    </row>
    <row r="18" ht="15" customHeight="1" s="41">
      <c r="B18" s="74" t="n"/>
      <c r="C18" s="74" t="inlineStr">
        <is>
          <t>Panel general arrangement</t>
        </is>
      </c>
      <c r="D18" s="75" t="n"/>
      <c r="E18" s="76" t="n"/>
      <c r="F18" s="74" t="n"/>
      <c r="G18" s="74" t="n"/>
    </row>
    <row r="19" ht="15" customHeight="1" s="41">
      <c r="B19" s="63" t="n"/>
      <c r="C19" s="63" t="n"/>
      <c r="D19" s="72" t="n"/>
      <c r="E19" s="73" t="n"/>
      <c r="F19" s="63" t="n"/>
      <c r="G19" s="63" t="n"/>
    </row>
    <row r="20" ht="15" customHeight="1" s="41">
      <c r="B20" s="74" t="n"/>
      <c r="C20" s="74" t="n"/>
      <c r="D20" s="75" t="n"/>
      <c r="E20" s="76" t="n"/>
      <c r="F20" s="74" t="n"/>
      <c r="G20" s="74" t="n"/>
    </row>
    <row r="22" ht="21.75" customHeight="1" s="41">
      <c r="B22" s="44" t="inlineStr">
        <is>
          <t>Test File &amp; Reference Document Locations</t>
        </is>
      </c>
    </row>
    <row r="23" ht="15" customHeight="1" s="41">
      <c r="B23" s="71" t="inlineStr">
        <is>
          <t>Note: paste the SharePoint URL into each cell. Excel will turn it into a clickable link automatically.</t>
        </is>
      </c>
    </row>
    <row r="24" ht="21.75" customHeight="1" s="41">
      <c r="B24" s="45" t="inlineStr">
        <is>
          <t>Omicron test file (.occ filename)</t>
        </is>
      </c>
      <c r="C24" s="63" t="n"/>
      <c r="D24" s="50" t="n"/>
      <c r="E24" s="50" t="n"/>
      <c r="F24" s="50" t="n"/>
      <c r="G24" s="51" t="n"/>
    </row>
    <row r="25" ht="21.75" customHeight="1" s="41">
      <c r="B25" s="45" t="inlineStr">
        <is>
          <t>SharePoint — Settings files (URL)</t>
        </is>
      </c>
      <c r="C25" s="77" t="inlineStr">
        <is>
          <t>https://sharepoint.contactenergy.co.nz/</t>
        </is>
      </c>
      <c r="D25" s="50" t="n"/>
      <c r="E25" s="50" t="n"/>
      <c r="F25" s="50" t="n"/>
      <c r="G25" s="51" t="n"/>
    </row>
    <row r="26" ht="21.75" customHeight="1" s="41">
      <c r="B26" s="45" t="inlineStr">
        <is>
          <t>SharePoint — Omicron electronic test file (URL)</t>
        </is>
      </c>
      <c r="C26" s="77" t="inlineStr">
        <is>
          <t>https://sharepoint.contactenergy.co.nz/</t>
        </is>
      </c>
      <c r="D26" s="50" t="n"/>
      <c r="E26" s="50" t="n"/>
      <c r="F26" s="50" t="n"/>
      <c r="G26" s="51" t="n"/>
    </row>
    <row r="27" ht="21.75" customHeight="1" s="41">
      <c r="B27" s="45" t="inlineStr">
        <is>
          <t>SharePoint — Protection Functional Report (URL)</t>
        </is>
      </c>
      <c r="C27" s="77" t="inlineStr">
        <is>
          <t>https://sharepoint.contactenergy.co.nz/</t>
        </is>
      </c>
      <c r="D27" s="50" t="n"/>
      <c r="E27" s="50" t="n"/>
      <c r="F27" s="50" t="n"/>
      <c r="G27" s="51" t="n"/>
    </row>
    <row r="28" ht="21.75" customHeight="1" s="41">
      <c r="B28" s="45" t="inlineStr">
        <is>
          <t>SharePoint — Other (events, SOE, reports) (URL)</t>
        </is>
      </c>
      <c r="C28" s="77" t="inlineStr">
        <is>
          <t>https://sharepoint.contactenergy.co.nz/</t>
        </is>
      </c>
      <c r="D28" s="50" t="n"/>
      <c r="E28" s="50" t="n"/>
      <c r="F28" s="50" t="n"/>
      <c r="G28" s="51" t="n"/>
    </row>
  </sheetData>
  <mergeCells count="10">
    <mergeCell ref="B2:G2"/>
    <mergeCell ref="B22:G22"/>
    <mergeCell ref="C24:G24"/>
    <mergeCell ref="B23:G23"/>
    <mergeCell ref="C25:G25"/>
    <mergeCell ref="C28:G28"/>
    <mergeCell ref="C27:G27"/>
    <mergeCell ref="B4:G4"/>
    <mergeCell ref="B13:G13"/>
    <mergeCell ref="C26:G26"/>
  </mergeCells>
  <hyperlinks>
    <hyperlink xmlns:r="http://schemas.openxmlformats.org/officeDocument/2006/relationships" ref="C25" display="https://sharepoint.contactenergy.co.nz/" r:id="rId1"/>
    <hyperlink xmlns:r="http://schemas.openxmlformats.org/officeDocument/2006/relationships" ref="C26" display="https://sharepoint.contactenergy.co.nz/" r:id="rId2"/>
    <hyperlink xmlns:r="http://schemas.openxmlformats.org/officeDocument/2006/relationships" ref="C27" display="https://sharepoint.contactenergy.co.nz/" r:id="rId3"/>
    <hyperlink xmlns:r="http://schemas.openxmlformats.org/officeDocument/2006/relationships" ref="C28" display="https://sharepoint.contactenergy.co.nz/" r:id="rId4"/>
  </hyperlink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F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6" customWidth="1" style="40" min="2" max="2"/>
    <col width="60" customWidth="1" style="40" min="3" max="3"/>
    <col width="14" customWidth="1" style="40" min="4" max="4"/>
    <col width="30" customWidth="1" style="40" min="5" max="5"/>
    <col width="14" customWidth="1" style="40" min="6" max="6"/>
  </cols>
  <sheetData>
    <row r="2" ht="22.05" customHeight="1" s="41">
      <c r="B2" s="42" t="inlineStr">
        <is>
          <t>Pre-Test Checklist</t>
        </is>
      </c>
    </row>
    <row r="4" ht="21.75" customHeight="1" s="41">
      <c r="B4" s="44" t="inlineStr">
        <is>
          <t>3.1 Visual Inspection</t>
        </is>
      </c>
    </row>
    <row r="5" ht="19.5" customHeight="1" s="41">
      <c r="B5" s="64" t="inlineStr">
        <is>
          <t>#</t>
        </is>
      </c>
      <c r="C5" s="64" t="inlineStr">
        <is>
          <t>Check</t>
        </is>
      </c>
      <c r="D5" s="64" t="inlineStr">
        <is>
          <t>Status</t>
        </is>
      </c>
      <c r="E5" s="64" t="inlineStr">
        <is>
          <t>Notes / Value</t>
        </is>
      </c>
      <c r="F5" s="64" t="inlineStr">
        <is>
          <t>Initials</t>
        </is>
      </c>
    </row>
    <row r="6" ht="19.5" customHeight="1" s="41">
      <c r="B6" s="78" t="n">
        <v>1</v>
      </c>
      <c r="C6" s="79" t="inlineStr">
        <is>
          <t>Relay mounted securely; no physical damage to fascia or terminals.</t>
        </is>
      </c>
      <c r="D6" s="80" t="n"/>
      <c r="E6" s="63" t="n"/>
      <c r="F6" s="80" t="n"/>
    </row>
    <row r="7" ht="19.5" customHeight="1" s="41">
      <c r="B7" s="81" t="n">
        <v>2</v>
      </c>
      <c r="C7" s="82" t="inlineStr">
        <is>
          <t>All wiring terminations tight (sample); no signs of overheating.</t>
        </is>
      </c>
      <c r="D7" s="83" t="n"/>
      <c r="E7" s="74" t="n"/>
      <c r="F7" s="83" t="n"/>
    </row>
    <row r="8" ht="19.5" customHeight="1" s="41">
      <c r="B8" s="78" t="n">
        <v>3</v>
      </c>
      <c r="C8" s="79" t="inlineStr">
        <is>
          <t>Front-panel LEDs illuminate during lamp test.</t>
        </is>
      </c>
      <c r="D8" s="80" t="n"/>
      <c r="E8" s="63" t="n"/>
      <c r="F8" s="80" t="n"/>
    </row>
    <row r="9" ht="19.5" customHeight="1" s="41">
      <c r="B9" s="81" t="n">
        <v>4</v>
      </c>
      <c r="C9" s="82" t="inlineStr">
        <is>
          <t>No active alarms or target LEDs on arrival.</t>
        </is>
      </c>
      <c r="D9" s="83" t="n"/>
      <c r="E9" s="74" t="n"/>
      <c r="F9" s="83" t="n"/>
    </row>
    <row r="10" ht="19.5" customHeight="1" s="41">
      <c r="B10" s="78" t="n">
        <v>5</v>
      </c>
      <c r="C10" s="79" t="inlineStr">
        <is>
          <t>Aux supply voltage at relay terminals within tolerance (record value in Notes).</t>
        </is>
      </c>
      <c r="D10" s="80" t="n"/>
      <c r="E10" s="63" t="n"/>
      <c r="F10" s="80" t="n"/>
    </row>
    <row r="12" ht="21.75" customHeight="1" s="41">
      <c r="B12" s="44" t="inlineStr">
        <is>
          <t>3.2 Connect to Relay &amp; Verify Status</t>
        </is>
      </c>
    </row>
    <row r="13" ht="19.5" customHeight="1" s="41">
      <c r="B13" s="64" t="inlineStr">
        <is>
          <t>#</t>
        </is>
      </c>
      <c r="C13" s="64" t="inlineStr">
        <is>
          <t>Check</t>
        </is>
      </c>
      <c r="D13" s="64" t="inlineStr">
        <is>
          <t>Status</t>
        </is>
      </c>
      <c r="E13" s="64" t="inlineStr">
        <is>
          <t>Notes / Value</t>
        </is>
      </c>
      <c r="F13" s="64" t="inlineStr">
        <is>
          <t>Initials</t>
        </is>
      </c>
    </row>
    <row r="14" ht="19.5" customHeight="1" s="41">
      <c r="B14" s="78" t="n">
        <v>6</v>
      </c>
      <c r="C14" s="79" t="inlineStr">
        <is>
          <t>Communications established with relay (front / rear port).</t>
        </is>
      </c>
      <c r="D14" s="80" t="n"/>
      <c r="E14" s="63" t="n"/>
      <c r="F14" s="80" t="n"/>
    </row>
    <row r="15" ht="19.5" customHeight="1" s="41">
      <c r="B15" s="81" t="n">
        <v>7</v>
      </c>
      <c r="C15" s="82" t="inlineStr">
        <is>
          <t>STATUS / STA command — self-test OK, no failures.</t>
        </is>
      </c>
      <c r="D15" s="83" t="n"/>
      <c r="E15" s="74" t="n"/>
      <c r="F15" s="83" t="n"/>
    </row>
    <row r="16" ht="19.5" customHeight="1" s="41">
      <c r="B16" s="78" t="n">
        <v>8</v>
      </c>
      <c r="C16" s="79" t="inlineStr">
        <is>
          <t>MET command — live values sane.</t>
        </is>
      </c>
      <c r="D16" s="80" t="n"/>
      <c r="E16" s="63" t="n"/>
      <c r="F16" s="80" t="n"/>
    </row>
    <row r="17" ht="19.5" customHeight="1" s="41">
      <c r="B17" s="81" t="n">
        <v>9</v>
      </c>
      <c r="C17" s="82" t="inlineStr">
        <is>
          <t>FID and Part Number recorded in Cover sheet.</t>
        </is>
      </c>
      <c r="D17" s="83" t="n"/>
      <c r="E17" s="74" t="n"/>
      <c r="F17" s="83" t="n"/>
    </row>
    <row r="19" ht="21.75" customHeight="1" s="41">
      <c r="B19" s="44" t="inlineStr">
        <is>
          <t>3.3 Time / Clock Check</t>
        </is>
      </c>
    </row>
    <row r="20" ht="19.5" customHeight="1" s="41">
      <c r="B20" s="64" t="inlineStr">
        <is>
          <t>#</t>
        </is>
      </c>
      <c r="C20" s="64" t="inlineStr">
        <is>
          <t>Check</t>
        </is>
      </c>
      <c r="D20" s="64" t="inlineStr">
        <is>
          <t>Status</t>
        </is>
      </c>
      <c r="E20" s="64" t="inlineStr">
        <is>
          <t>Notes / Value</t>
        </is>
      </c>
      <c r="F20" s="64" t="inlineStr">
        <is>
          <t>Initials</t>
        </is>
      </c>
    </row>
    <row r="21" ht="19.5" customHeight="1" s="41">
      <c r="B21" s="78" t="n">
        <v>10</v>
      </c>
      <c r="C21" s="79" t="inlineStr">
        <is>
          <t>Read relay date/time; record drift vs. reference (Notes).</t>
        </is>
      </c>
      <c r="D21" s="80" t="n"/>
      <c r="E21" s="63" t="n"/>
      <c r="F21" s="80" t="n"/>
    </row>
    <row r="22" ht="19.5" customHeight="1" s="41">
      <c r="B22" s="81" t="n">
        <v>11</v>
      </c>
      <c r="C22" s="82" t="inlineStr">
        <is>
          <t>Identified source of time sync (IRIG-B, NTP, manual).</t>
        </is>
      </c>
      <c r="D22" s="83" t="n"/>
      <c r="E22" s="74" t="n"/>
      <c r="F22" s="83" t="n"/>
    </row>
    <row r="24" ht="21.75" customHeight="1" s="41">
      <c r="B24" s="44" t="inlineStr">
        <is>
          <t>3.4 Event Records</t>
        </is>
      </c>
    </row>
    <row r="25" ht="19.5" customHeight="1" s="41">
      <c r="B25" s="64" t="inlineStr">
        <is>
          <t>#</t>
        </is>
      </c>
      <c r="C25" s="64" t="inlineStr">
        <is>
          <t>Check</t>
        </is>
      </c>
      <c r="D25" s="64" t="inlineStr">
        <is>
          <t>Status</t>
        </is>
      </c>
      <c r="E25" s="64" t="inlineStr">
        <is>
          <t>Notes / Value</t>
        </is>
      </c>
      <c r="F25" s="64" t="inlineStr">
        <is>
          <t>Initials</t>
        </is>
      </c>
    </row>
    <row r="26" ht="19.5" customHeight="1" s="41">
      <c r="B26" s="78" t="n">
        <v>12</v>
      </c>
      <c r="C26" s="79" t="inlineStr">
        <is>
          <t>Downloaded all events (HIS / EVE) and saved to job folder.</t>
        </is>
      </c>
      <c r="D26" s="80" t="n"/>
      <c r="E26" s="63" t="n"/>
      <c r="F26" s="80" t="n"/>
    </row>
    <row r="27" ht="19.5" customHeight="1" s="41">
      <c r="B27" s="81" t="n">
        <v>13</v>
      </c>
      <c r="C27" s="82" t="inlineStr">
        <is>
          <t>Number of events on relay (record in Notes).</t>
        </is>
      </c>
      <c r="D27" s="83" t="n"/>
      <c r="E27" s="74" t="n"/>
      <c r="F27" s="83" t="n"/>
    </row>
    <row r="28" ht="19.5" customHeight="1" s="41">
      <c r="B28" s="78" t="n">
        <v>14</v>
      </c>
      <c r="C28" s="79" t="inlineStr">
        <is>
          <t>Reviewed events for unexpected operations / pickups since last test.</t>
        </is>
      </c>
      <c r="D28" s="80" t="n"/>
      <c r="E28" s="63" t="n"/>
      <c r="F28" s="80" t="n"/>
    </row>
    <row r="29" ht="19.5" customHeight="1" s="41">
      <c r="B29" s="81" t="n">
        <v>15</v>
      </c>
      <c r="C29" s="82" t="inlineStr">
        <is>
          <t>Cross-referenced anomalies with operations / SCADA / fault log.</t>
        </is>
      </c>
      <c r="D29" s="83" t="n"/>
      <c r="E29" s="74" t="n"/>
      <c r="F29" s="83" t="n"/>
    </row>
    <row r="31" ht="21.75" customHeight="1" s="41">
      <c r="B31" s="44" t="inlineStr">
        <is>
          <t>3.5 Sequence of Events (SOE)</t>
        </is>
      </c>
    </row>
    <row r="32" ht="19.5" customHeight="1" s="41">
      <c r="B32" s="64" t="inlineStr">
        <is>
          <t>#</t>
        </is>
      </c>
      <c r="C32" s="64" t="inlineStr">
        <is>
          <t>Check</t>
        </is>
      </c>
      <c r="D32" s="64" t="inlineStr">
        <is>
          <t>Status</t>
        </is>
      </c>
      <c r="E32" s="64" t="inlineStr">
        <is>
          <t>Notes / Value</t>
        </is>
      </c>
      <c r="F32" s="64" t="inlineStr">
        <is>
          <t>Initials</t>
        </is>
      </c>
    </row>
    <row r="33" ht="19.5" customHeight="1" s="41">
      <c r="B33" s="78" t="n">
        <v>16</v>
      </c>
      <c r="C33" s="79" t="inlineStr">
        <is>
          <t>Downloaded SER / SOE buffer and saved to job folder.</t>
        </is>
      </c>
      <c r="D33" s="80" t="n"/>
      <c r="E33" s="63" t="n"/>
      <c r="F33" s="80" t="n"/>
    </row>
    <row r="34" ht="19.5" customHeight="1" s="41">
      <c r="B34" s="81" t="n">
        <v>17</v>
      </c>
      <c r="C34" s="82" t="inlineStr">
        <is>
          <t>Reviewed for unexpected element pickups, drop-outs or input chatter.</t>
        </is>
      </c>
      <c r="D34" s="83" t="n"/>
      <c r="E34" s="74" t="n"/>
      <c r="F34" s="83" t="n"/>
    </row>
    <row r="36" ht="21.75" customHeight="1" s="41">
      <c r="B36" s="44" t="inlineStr">
        <is>
          <t>3.6 Settings — As-Found</t>
        </is>
      </c>
    </row>
    <row r="37" ht="19.5" customHeight="1" s="41">
      <c r="B37" s="64" t="inlineStr">
        <is>
          <t>#</t>
        </is>
      </c>
      <c r="C37" s="64" t="inlineStr">
        <is>
          <t>Check</t>
        </is>
      </c>
      <c r="D37" s="64" t="inlineStr">
        <is>
          <t>Status</t>
        </is>
      </c>
      <c r="E37" s="64" t="inlineStr">
        <is>
          <t>Notes / Value</t>
        </is>
      </c>
      <c r="F37" s="64" t="inlineStr">
        <is>
          <t>Initials</t>
        </is>
      </c>
    </row>
    <row r="38" ht="19.5" customHeight="1" s="41">
      <c r="B38" s="78" t="n">
        <v>18</v>
      </c>
      <c r="C38" s="79" t="inlineStr">
        <is>
          <t>Read full settings; saved with prefix "asfound_&lt;Asset&gt;_&lt;YYYYMMDD&gt;".</t>
        </is>
      </c>
      <c r="D38" s="80" t="n"/>
      <c r="E38" s="63" t="n"/>
      <c r="F38" s="80" t="n"/>
    </row>
    <row r="39" ht="19.5" customHeight="1" s="41">
      <c r="B39" s="81" t="n">
        <v>19</v>
      </c>
      <c r="C39" s="82" t="inlineStr">
        <is>
          <t>Compared as-found vs. master settings (AcSELerator compare).</t>
        </is>
      </c>
      <c r="D39" s="83" t="n"/>
      <c r="E39" s="74" t="n"/>
      <c r="F39" s="83" t="n"/>
    </row>
    <row r="40" ht="19.5" customHeight="1" s="41">
      <c r="B40" s="78" t="n">
        <v>20</v>
      </c>
      <c r="C40" s="79" t="inlineStr">
        <is>
          <t>All differences documented (record file name in Notes).</t>
        </is>
      </c>
      <c r="D40" s="80" t="n"/>
      <c r="E40" s="63" t="n"/>
      <c r="F40" s="80" t="n"/>
    </row>
    <row r="41" ht="19.5" customHeight="1" s="41">
      <c r="B41" s="81" t="n">
        <v>21</v>
      </c>
      <c r="C41" s="82" t="inlineStr">
        <is>
          <t>Differences are authorised changes only.</t>
        </is>
      </c>
      <c r="D41" s="83" t="n"/>
      <c r="E41" s="74" t="n"/>
      <c r="F41" s="83" t="n"/>
    </row>
    <row r="43" ht="21.75" customHeight="1" s="41">
      <c r="B43" s="44" t="inlineStr">
        <is>
          <t>3.7 Settings vs. Protection Functional Description</t>
        </is>
      </c>
    </row>
    <row r="44" ht="19.5" customHeight="1" s="41">
      <c r="B44" s="64" t="inlineStr">
        <is>
          <t>#</t>
        </is>
      </c>
      <c r="C44" s="64" t="inlineStr">
        <is>
          <t>Check</t>
        </is>
      </c>
      <c r="D44" s="64" t="inlineStr">
        <is>
          <t>Status</t>
        </is>
      </c>
      <c r="E44" s="64" t="inlineStr">
        <is>
          <t>Notes / Value</t>
        </is>
      </c>
      <c r="F44" s="64" t="inlineStr">
        <is>
          <t>Initials</t>
        </is>
      </c>
    </row>
    <row r="45" ht="19.5" customHeight="1" s="41">
      <c r="B45" s="78" t="n">
        <v>22</v>
      </c>
      <c r="C45" s="79" t="inlineStr">
        <is>
          <t>Enabled functions match functional description.</t>
        </is>
      </c>
      <c r="D45" s="80" t="n"/>
      <c r="E45" s="63" t="n"/>
      <c r="F45" s="80" t="n"/>
    </row>
    <row r="46" ht="19.5" customHeight="1" s="41">
      <c r="B46" s="81" t="n">
        <v>23</v>
      </c>
      <c r="C46" s="82" t="inlineStr">
        <is>
          <t>Key element settings match document.</t>
        </is>
      </c>
      <c r="D46" s="83" t="n"/>
      <c r="E46" s="74" t="n"/>
      <c r="F46" s="83" t="n"/>
    </row>
    <row r="47" ht="19.5" customHeight="1" s="41">
      <c r="B47" s="78" t="n">
        <v>24</v>
      </c>
      <c r="C47" s="79" t="inlineStr">
        <is>
          <t>CT and VT ratios entered match nameplate / SLD and section on Cover.</t>
        </is>
      </c>
      <c r="D47" s="80" t="n"/>
      <c r="E47" s="63" t="n"/>
      <c r="F47" s="80" t="n"/>
    </row>
    <row r="48" ht="19.5" customHeight="1" s="41">
      <c r="B48" s="81" t="n">
        <v>25</v>
      </c>
      <c r="C48" s="82" t="inlineStr">
        <is>
          <t>Trip matrix / output mapping matches functional description.</t>
        </is>
      </c>
      <c r="D48" s="83" t="n"/>
      <c r="E48" s="74" t="n"/>
      <c r="F48" s="83" t="n"/>
    </row>
  </sheetData>
  <mergeCells count="8">
    <mergeCell ref="B4:F4"/>
    <mergeCell ref="B43:F43"/>
    <mergeCell ref="B12:F12"/>
    <mergeCell ref="B24:F24"/>
    <mergeCell ref="B2:F2"/>
    <mergeCell ref="B19:F19"/>
    <mergeCell ref="B31:F31"/>
    <mergeCell ref="B36:F36"/>
  </mergeCells>
  <conditionalFormatting sqref="D5:D200">
    <cfRule type="cellIs" rank="0" priority="2" equalAverage="0" operator="equal" aboveAverage="0" dxfId="0" text="" percent="0" bottom="0">
      <formula>"OK"</formula>
    </cfRule>
    <cfRule type="cellIs" rank="0" priority="3" equalAverage="0" operator="equal" aboveAverage="0" dxfId="1" text="" percent="0" bottom="0">
      <formula>"FAIL"</formula>
    </cfRule>
  </conditionalFormatting>
  <dataValidations count="1">
    <dataValidation sqref="D6:D10 D14:D17 D21:D22 D26:D29 D33:D34 D38:D41 D45:D48" showDropDown="0" showInputMessage="0" showErrorMessage="0" allowBlank="1" type="list" errorStyle="stop" operator="between">
      <formula1>"OK,N/A,FAIL"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2:L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6" customWidth="1" style="40" min="2" max="2"/>
    <col width="13" customWidth="1" style="40" min="3" max="3"/>
    <col width="12" customWidth="1" style="40" min="4" max="4"/>
    <col width="18" customWidth="1" style="40" min="5" max="5"/>
    <col width="16" customWidth="1" style="40" min="6" max="7"/>
    <col width="12" customWidth="1" style="40" min="8" max="11"/>
    <col width="26" customWidth="1" style="40" min="12" max="12"/>
  </cols>
  <sheetData>
    <row r="2" ht="22.05" customHeight="1" s="41">
      <c r="B2" s="42" t="inlineStr">
        <is>
          <t>Analogue Input Verification — PRIMARY values</t>
        </is>
      </c>
    </row>
    <row r="3" ht="15" customHeight="1" s="41">
      <c r="B3" s="43" t="inlineStr">
        <is>
          <t>Inject secondary; relay reports primary internally using configured ratios on Cover. Expected Primary, error % and pass/fail are calculated automatically. Magnitude tolerance: TolV_pct/TolI_pct, angle tolerance: TolAngle_deg.</t>
        </is>
      </c>
    </row>
    <row r="4" ht="15" customHeight="1" s="41">
      <c r="B4" s="71" t="inlineStr">
        <is>
          <t>If Expected Primary shows blank, check the corresponding CT/VT ratio is filled in on the Cover sheet.</t>
        </is>
      </c>
    </row>
    <row r="5" ht="21.75" customHeight="1" s="41">
      <c r="B5" s="44" t="inlineStr">
        <is>
          <t>4.1 VT Inputs — Three-Phase Voltage Injection (Primary verification)</t>
        </is>
      </c>
    </row>
    <row r="6" ht="30" customHeight="1" s="41">
      <c r="B6" s="64" t="inlineStr">
        <is>
          <t>Step</t>
        </is>
      </c>
      <c r="C6" s="64" t="inlineStr">
        <is>
          <t>Injected (V sec)</t>
        </is>
      </c>
      <c r="D6" s="64" t="inlineStr">
        <is>
          <t>Inj Angle (°)</t>
        </is>
      </c>
      <c r="E6" s="64" t="inlineStr">
        <is>
          <t>Phase / Input</t>
        </is>
      </c>
      <c r="F6" s="64" t="inlineStr">
        <is>
          <t>Expected Primary (V or kV)</t>
        </is>
      </c>
      <c r="G6" s="64" t="inlineStr">
        <is>
          <t>Relay Primary</t>
        </is>
      </c>
      <c r="H6" s="64" t="inlineStr">
        <is>
          <t>Relay Angle (°)</t>
        </is>
      </c>
      <c r="I6" s="64" t="inlineStr">
        <is>
          <t>Mag Err (%)</t>
        </is>
      </c>
      <c r="J6" s="64" t="inlineStr">
        <is>
          <t>Angle Err (°)</t>
        </is>
      </c>
      <c r="K6" s="64" t="inlineStr">
        <is>
          <t>P / F</t>
        </is>
      </c>
      <c r="L6" s="64" t="inlineStr">
        <is>
          <t>Notes</t>
        </is>
      </c>
    </row>
    <row r="7" ht="18" customHeight="1" s="41">
      <c r="B7" s="78" t="n">
        <v>1</v>
      </c>
      <c r="C7" s="84" t="n">
        <v>63.5</v>
      </c>
      <c r="D7" s="66" t="n">
        <v>0</v>
      </c>
      <c r="E7" s="80" t="inlineStr">
        <is>
          <t>L1 (VA)</t>
        </is>
      </c>
      <c r="F7" s="85">
        <f>IFERROR(C7*Ratio_VTmain,"")</f>
        <v/>
      </c>
      <c r="G7" s="86" t="n"/>
      <c r="H7" s="66" t="n"/>
      <c r="I7" s="85">
        <f>IFERROR(IF(OR(F7="",G7=""),"",(G7-F7)/F7*100),"")</f>
        <v/>
      </c>
      <c r="J7" s="85">
        <f>IFERROR(IF(OR(D7="",H7=""),"",H7-D7),"")</f>
        <v/>
      </c>
      <c r="K7" s="78">
        <f>IF(AND(I7="",J7=""),"",IF(OR(AND(I7&lt;&gt;"",ABS(I7)&gt;TolV_pct),AND(J7&lt;&gt;"",ABS(J7)&gt;TolAngle_deg)),"FAIL","PASS"))</f>
        <v/>
      </c>
      <c r="L7" s="80" t="n"/>
    </row>
    <row r="8" ht="18" customHeight="1" s="41">
      <c r="B8" s="81" t="n">
        <v>1</v>
      </c>
      <c r="C8" s="87" t="n">
        <v>63.5</v>
      </c>
      <c r="D8" s="88" t="n">
        <v>-120</v>
      </c>
      <c r="E8" s="83" t="inlineStr">
        <is>
          <t>L2 (VB)</t>
        </is>
      </c>
      <c r="F8" s="89">
        <f>IFERROR(C8*Ratio_VTmain,"")</f>
        <v/>
      </c>
      <c r="G8" s="90" t="n"/>
      <c r="H8" s="88" t="n"/>
      <c r="I8" s="89">
        <f>IFERROR(IF(OR(F8="",G8=""),"",(G8-F8)/F8*100),"")</f>
        <v/>
      </c>
      <c r="J8" s="89">
        <f>IFERROR(IF(OR(D8="",H8=""),"",H8-D8),"")</f>
        <v/>
      </c>
      <c r="K8" s="81">
        <f>IF(AND(I8="",J8=""),"",IF(OR(AND(I8&lt;&gt;"",ABS(I8)&gt;TolV_pct),AND(J8&lt;&gt;"",ABS(J8)&gt;TolAngle_deg)),"FAIL","PASS"))</f>
        <v/>
      </c>
      <c r="L8" s="83" t="n"/>
    </row>
    <row r="9" ht="18" customHeight="1" s="41">
      <c r="B9" s="78" t="n">
        <v>1</v>
      </c>
      <c r="C9" s="84" t="n">
        <v>63.5</v>
      </c>
      <c r="D9" s="66" t="n">
        <v>120</v>
      </c>
      <c r="E9" s="80" t="inlineStr">
        <is>
          <t>L3 (VC)</t>
        </is>
      </c>
      <c r="F9" s="85">
        <f>IFERROR(C9*Ratio_VTmain,"")</f>
        <v/>
      </c>
      <c r="G9" s="86" t="n"/>
      <c r="H9" s="66" t="n"/>
      <c r="I9" s="85">
        <f>IFERROR(IF(OR(F9="",G9=""),"",(G9-F9)/F9*100),"")</f>
        <v/>
      </c>
      <c r="J9" s="85">
        <f>IFERROR(IF(OR(D9="",H9=""),"",H9-D9),"")</f>
        <v/>
      </c>
      <c r="K9" s="78">
        <f>IF(AND(I9="",J9=""),"",IF(OR(AND(I9&lt;&gt;"",ABS(I9)&gt;TolV_pct),AND(J9&lt;&gt;"",ABS(J9)&gt;TolAngle_deg)),"FAIL","PASS"))</f>
        <v/>
      </c>
      <c r="L9" s="80" t="n"/>
    </row>
    <row r="10" ht="18" customHeight="1" s="41">
      <c r="B10" s="81" t="n">
        <v>2</v>
      </c>
      <c r="C10" s="87" t="n">
        <v>110</v>
      </c>
      <c r="D10" s="88" t="n">
        <v>0</v>
      </c>
      <c r="E10" s="83" t="inlineStr">
        <is>
          <t>L1 (VA)</t>
        </is>
      </c>
      <c r="F10" s="89">
        <f>IFERROR(C10*Ratio_VTmain,"")</f>
        <v/>
      </c>
      <c r="G10" s="90" t="n"/>
      <c r="H10" s="88" t="n"/>
      <c r="I10" s="89">
        <f>IFERROR(IF(OR(F10="",G10=""),"",(G10-F10)/F10*100),"")</f>
        <v/>
      </c>
      <c r="J10" s="89">
        <f>IFERROR(IF(OR(D10="",H10=""),"",H10-D10),"")</f>
        <v/>
      </c>
      <c r="K10" s="81">
        <f>IF(AND(I10="",J10=""),"",IF(OR(AND(I10&lt;&gt;"",ABS(I10)&gt;TolV_pct),AND(J10&lt;&gt;"",ABS(J10)&gt;TolAngle_deg)),"FAIL","PASS"))</f>
        <v/>
      </c>
      <c r="L10" s="83" t="n"/>
    </row>
    <row r="11" ht="18" customHeight="1" s="41">
      <c r="B11" s="78" t="n">
        <v>2</v>
      </c>
      <c r="C11" s="84" t="n">
        <v>110</v>
      </c>
      <c r="D11" s="66" t="n">
        <v>-120</v>
      </c>
      <c r="E11" s="80" t="inlineStr">
        <is>
          <t>L2 (VB)</t>
        </is>
      </c>
      <c r="F11" s="85">
        <f>IFERROR(C11*Ratio_VTmain,"")</f>
        <v/>
      </c>
      <c r="G11" s="86" t="n"/>
      <c r="H11" s="66" t="n"/>
      <c r="I11" s="85">
        <f>IFERROR(IF(OR(F11="",G11=""),"",(G11-F11)/F11*100),"")</f>
        <v/>
      </c>
      <c r="J11" s="85">
        <f>IFERROR(IF(OR(D11="",H11=""),"",H11-D11),"")</f>
        <v/>
      </c>
      <c r="K11" s="78">
        <f>IF(AND(I11="",J11=""),"",IF(OR(AND(I11&lt;&gt;"",ABS(I11)&gt;TolV_pct),AND(J11&lt;&gt;"",ABS(J11)&gt;TolAngle_deg)),"FAIL","PASS"))</f>
        <v/>
      </c>
      <c r="L11" s="80" t="n"/>
    </row>
    <row r="12" ht="18" customHeight="1" s="41">
      <c r="B12" s="81" t="n">
        <v>2</v>
      </c>
      <c r="C12" s="87" t="n">
        <v>110</v>
      </c>
      <c r="D12" s="88" t="n">
        <v>120</v>
      </c>
      <c r="E12" s="83" t="inlineStr">
        <is>
          <t>L3 (VC)</t>
        </is>
      </c>
      <c r="F12" s="89">
        <f>IFERROR(C12*Ratio_VTmain,"")</f>
        <v/>
      </c>
      <c r="G12" s="90" t="n"/>
      <c r="H12" s="88" t="n"/>
      <c r="I12" s="89">
        <f>IFERROR(IF(OR(F12="",G12=""),"",(G12-F12)/F12*100),"")</f>
        <v/>
      </c>
      <c r="J12" s="89">
        <f>IFERROR(IF(OR(D12="",H12=""),"",H12-D12),"")</f>
        <v/>
      </c>
      <c r="K12" s="81">
        <f>IF(AND(I12="",J12=""),"",IF(OR(AND(I12&lt;&gt;"",ABS(I12)&gt;TolV_pct),AND(J12&lt;&gt;"",ABS(J12)&gt;TolAngle_deg)),"FAIL","PASS"))</f>
        <v/>
      </c>
      <c r="L12" s="83" t="n"/>
    </row>
    <row r="13" ht="18" customHeight="1" s="41">
      <c r="B13" s="78" t="n">
        <v>3</v>
      </c>
      <c r="C13" s="84" t="n">
        <v>30</v>
      </c>
      <c r="D13" s="66" t="n">
        <v>0</v>
      </c>
      <c r="E13" s="80" t="inlineStr">
        <is>
          <t>L1 (VA)</t>
        </is>
      </c>
      <c r="F13" s="85">
        <f>IFERROR(C13*Ratio_VTmain,"")</f>
        <v/>
      </c>
      <c r="G13" s="86" t="n"/>
      <c r="H13" s="66" t="n"/>
      <c r="I13" s="85">
        <f>IFERROR(IF(OR(F13="",G13=""),"",(G13-F13)/F13*100),"")</f>
        <v/>
      </c>
      <c r="J13" s="85">
        <f>IFERROR(IF(OR(D13="",H13=""),"",H13-D13),"")</f>
        <v/>
      </c>
      <c r="K13" s="78">
        <f>IF(AND(I13="",J13=""),"",IF(OR(AND(I13&lt;&gt;"",ABS(I13)&gt;TolV_pct),AND(J13&lt;&gt;"",ABS(J13)&gt;TolAngle_deg)),"FAIL","PASS"))</f>
        <v/>
      </c>
      <c r="L13" s="80" t="n"/>
    </row>
    <row r="14" ht="18" customHeight="1" s="41">
      <c r="B14" s="81" t="n">
        <v>3</v>
      </c>
      <c r="C14" s="87" t="n">
        <v>30</v>
      </c>
      <c r="D14" s="88" t="n">
        <v>-120</v>
      </c>
      <c r="E14" s="83" t="inlineStr">
        <is>
          <t>L2 (VB)</t>
        </is>
      </c>
      <c r="F14" s="89">
        <f>IFERROR(C14*Ratio_VTmain,"")</f>
        <v/>
      </c>
      <c r="G14" s="90" t="n"/>
      <c r="H14" s="88" t="n"/>
      <c r="I14" s="89">
        <f>IFERROR(IF(OR(F14="",G14=""),"",(G14-F14)/F14*100),"")</f>
        <v/>
      </c>
      <c r="J14" s="89">
        <f>IFERROR(IF(OR(D14="",H14=""),"",H14-D14),"")</f>
        <v/>
      </c>
      <c r="K14" s="81">
        <f>IF(AND(I14="",J14=""),"",IF(OR(AND(I14&lt;&gt;"",ABS(I14)&gt;TolV_pct),AND(J14&lt;&gt;"",ABS(J14)&gt;TolAngle_deg)),"FAIL","PASS"))</f>
        <v/>
      </c>
      <c r="L14" s="83" t="n"/>
    </row>
    <row r="15" ht="18" customHeight="1" s="41">
      <c r="B15" s="78" t="n">
        <v>3</v>
      </c>
      <c r="C15" s="84" t="n">
        <v>30</v>
      </c>
      <c r="D15" s="66" t="n">
        <v>120</v>
      </c>
      <c r="E15" s="80" t="inlineStr">
        <is>
          <t>L3 (VC)</t>
        </is>
      </c>
      <c r="F15" s="85">
        <f>IFERROR(C15*Ratio_VTmain,"")</f>
        <v/>
      </c>
      <c r="G15" s="86" t="n"/>
      <c r="H15" s="66" t="n"/>
      <c r="I15" s="85">
        <f>IFERROR(IF(OR(F15="",G15=""),"",(G15-F15)/F15*100),"")</f>
        <v/>
      </c>
      <c r="J15" s="85">
        <f>IFERROR(IF(OR(D15="",H15=""),"",H15-D15),"")</f>
        <v/>
      </c>
      <c r="K15" s="78">
        <f>IF(AND(I15="",J15=""),"",IF(OR(AND(I15&lt;&gt;"",ABS(I15)&gt;TolV_pct),AND(J15&lt;&gt;"",ABS(J15)&gt;TolAngle_deg)),"FAIL","PASS"))</f>
        <v/>
      </c>
      <c r="L15" s="80" t="n"/>
    </row>
    <row r="17" ht="21.75" customHeight="1" s="41">
      <c r="B17" s="44" t="inlineStr">
        <is>
          <t>4.2 Neutral Voltage Input — VN / 3V0 (Primary verification)</t>
        </is>
      </c>
    </row>
    <row r="18" ht="30" customHeight="1" s="41">
      <c r="B18" s="64" t="inlineStr">
        <is>
          <t>Step</t>
        </is>
      </c>
      <c r="C18" s="64" t="inlineStr">
        <is>
          <t>Injected (V sec)</t>
        </is>
      </c>
      <c r="D18" s="64" t="inlineStr">
        <is>
          <t>Inj Angle (°)</t>
        </is>
      </c>
      <c r="E18" s="64" t="inlineStr">
        <is>
          <t>Phase / Input</t>
        </is>
      </c>
      <c r="F18" s="64" t="inlineStr">
        <is>
          <t>Expected Primary (V or kV)</t>
        </is>
      </c>
      <c r="G18" s="64" t="inlineStr">
        <is>
          <t>Relay Primary</t>
        </is>
      </c>
      <c r="H18" s="64" t="inlineStr">
        <is>
          <t>Relay Angle (°)</t>
        </is>
      </c>
      <c r="I18" s="64" t="inlineStr">
        <is>
          <t>Mag Err (%)</t>
        </is>
      </c>
      <c r="J18" s="64" t="inlineStr">
        <is>
          <t>Angle Err (°)</t>
        </is>
      </c>
      <c r="K18" s="64" t="inlineStr">
        <is>
          <t>P / F</t>
        </is>
      </c>
      <c r="L18" s="64" t="inlineStr">
        <is>
          <t>Notes</t>
        </is>
      </c>
    </row>
    <row r="19" ht="18" customHeight="1" s="41">
      <c r="B19" s="78" t="n">
        <v>1</v>
      </c>
      <c r="C19" s="84" t="n">
        <v>10</v>
      </c>
      <c r="D19" s="66" t="n">
        <v>0</v>
      </c>
      <c r="E19" s="80" t="inlineStr">
        <is>
          <t>VN / 3V0</t>
        </is>
      </c>
      <c r="F19" s="85">
        <f>IFERROR(C19*Ratio_VTneut,"")</f>
        <v/>
      </c>
      <c r="G19" s="86" t="n"/>
      <c r="H19" s="66" t="n"/>
      <c r="I19" s="85">
        <f>IFERROR(IF(OR(F19="",G19=""),"",(G19-F19)/F19*100),"")</f>
        <v/>
      </c>
      <c r="J19" s="85">
        <f>IFERROR(IF(OR(D19="",H19=""),"",H19-D19),"")</f>
        <v/>
      </c>
      <c r="K19" s="78">
        <f>IF(AND(I19="",J19=""),"",IF(OR(AND(I19&lt;&gt;"",ABS(I19)&gt;TolV_pct),AND(J19&lt;&gt;"",ABS(J19)&gt;TolAngle_deg)),"FAIL","PASS"))</f>
        <v/>
      </c>
      <c r="L19" s="80" t="n"/>
    </row>
    <row r="20" ht="18" customHeight="1" s="41">
      <c r="B20" s="81" t="n">
        <v>2</v>
      </c>
      <c r="C20" s="87" t="n">
        <v>30</v>
      </c>
      <c r="D20" s="88" t="n">
        <v>0</v>
      </c>
      <c r="E20" s="83" t="inlineStr">
        <is>
          <t>VN / 3V0</t>
        </is>
      </c>
      <c r="F20" s="89">
        <f>IFERROR(C20*Ratio_VTneut,"")</f>
        <v/>
      </c>
      <c r="G20" s="90" t="n"/>
      <c r="H20" s="88" t="n"/>
      <c r="I20" s="89">
        <f>IFERROR(IF(OR(F20="",G20=""),"",(G20-F20)/F20*100),"")</f>
        <v/>
      </c>
      <c r="J20" s="89">
        <f>IFERROR(IF(OR(D20="",H20=""),"",H20-D20),"")</f>
        <v/>
      </c>
      <c r="K20" s="81">
        <f>IF(AND(I20="",J20=""),"",IF(OR(AND(I20&lt;&gt;"",ABS(I20)&gt;TolV_pct),AND(J20&lt;&gt;"",ABS(J20)&gt;TolAngle_deg)),"FAIL","PASS"))</f>
        <v/>
      </c>
      <c r="L20" s="83" t="n"/>
    </row>
    <row r="21" ht="18" customHeight="1" s="41">
      <c r="B21" s="78" t="n">
        <v>3</v>
      </c>
      <c r="C21" s="84" t="n">
        <v>60</v>
      </c>
      <c r="D21" s="66" t="n">
        <v>0</v>
      </c>
      <c r="E21" s="80" t="inlineStr">
        <is>
          <t>VN / 3V0</t>
        </is>
      </c>
      <c r="F21" s="85">
        <f>IFERROR(C21*Ratio_VTneut,"")</f>
        <v/>
      </c>
      <c r="G21" s="86" t="n"/>
      <c r="H21" s="66" t="n"/>
      <c r="I21" s="85">
        <f>IFERROR(IF(OR(F21="",G21=""),"",(G21-F21)/F21*100),"")</f>
        <v/>
      </c>
      <c r="J21" s="85">
        <f>IFERROR(IF(OR(D21="",H21=""),"",H21-D21),"")</f>
        <v/>
      </c>
      <c r="K21" s="78">
        <f>IF(AND(I21="",J21=""),"",IF(OR(AND(I21&lt;&gt;"",ABS(I21)&gt;TolV_pct),AND(J21&lt;&gt;"",ABS(J21)&gt;TolAngle_deg)),"FAIL","PASS"))</f>
        <v/>
      </c>
      <c r="L21" s="80" t="n"/>
    </row>
    <row r="22" ht="18" customHeight="1" s="41">
      <c r="B22" s="81" t="n">
        <v>4</v>
      </c>
      <c r="C22" s="87" t="n">
        <v>100</v>
      </c>
      <c r="D22" s="88" t="n">
        <v>0</v>
      </c>
      <c r="E22" s="83" t="inlineStr">
        <is>
          <t>VN / 3V0</t>
        </is>
      </c>
      <c r="F22" s="89">
        <f>IFERROR(C22*Ratio_VTneut,"")</f>
        <v/>
      </c>
      <c r="G22" s="90" t="n"/>
      <c r="H22" s="88" t="n"/>
      <c r="I22" s="89">
        <f>IFERROR(IF(OR(F22="",G22=""),"",(G22-F22)/F22*100),"")</f>
        <v/>
      </c>
      <c r="J22" s="89">
        <f>IFERROR(IF(OR(D22="",H22=""),"",H22-D22),"")</f>
        <v/>
      </c>
      <c r="K22" s="81">
        <f>IF(AND(I22="",J22=""),"",IF(OR(AND(I22&lt;&gt;"",ABS(I22)&gt;TolV_pct),AND(J22&lt;&gt;"",ABS(J22)&gt;TolAngle_deg)),"FAIL","PASS"))</f>
        <v/>
      </c>
      <c r="L22" s="83" t="n"/>
    </row>
    <row r="24" ht="21.75" customHeight="1" s="41">
      <c r="B24" s="44" t="inlineStr">
        <is>
          <t>4.3 Stator-Side CT — Three-Phase Current Injection (Primary verification)</t>
        </is>
      </c>
    </row>
    <row r="25" ht="30" customHeight="1" s="41">
      <c r="B25" s="64" t="inlineStr">
        <is>
          <t>Step</t>
        </is>
      </c>
      <c r="C25" s="64" t="inlineStr">
        <is>
          <t>Injected (A sec)</t>
        </is>
      </c>
      <c r="D25" s="64" t="inlineStr">
        <is>
          <t>Inj Angle (°)</t>
        </is>
      </c>
      <c r="E25" s="64" t="inlineStr">
        <is>
          <t>Phase / Input</t>
        </is>
      </c>
      <c r="F25" s="64" t="inlineStr">
        <is>
          <t>Expected Primary (A)</t>
        </is>
      </c>
      <c r="G25" s="64" t="inlineStr">
        <is>
          <t>Relay Primary</t>
        </is>
      </c>
      <c r="H25" s="64" t="inlineStr">
        <is>
          <t>Relay Angle (°)</t>
        </is>
      </c>
      <c r="I25" s="64" t="inlineStr">
        <is>
          <t>Mag Err (%)</t>
        </is>
      </c>
      <c r="J25" s="64" t="inlineStr">
        <is>
          <t>Angle Err (°)</t>
        </is>
      </c>
      <c r="K25" s="64" t="inlineStr">
        <is>
          <t>P / F</t>
        </is>
      </c>
      <c r="L25" s="64" t="inlineStr">
        <is>
          <t>Notes</t>
        </is>
      </c>
    </row>
    <row r="26" ht="18" customHeight="1" s="41">
      <c r="B26" s="78" t="n">
        <v>1</v>
      </c>
      <c r="C26" s="84" t="n">
        <v>1</v>
      </c>
      <c r="D26" s="66" t="n">
        <v>0</v>
      </c>
      <c r="E26" s="80" t="inlineStr">
        <is>
          <t>L1 stator</t>
        </is>
      </c>
      <c r="F26" s="85">
        <f>IFERROR(C26*Ratio_CTstator,"")</f>
        <v/>
      </c>
      <c r="G26" s="86" t="n"/>
      <c r="H26" s="66" t="n"/>
      <c r="I26" s="85">
        <f>IFERROR(IF(OR(F26="",G26=""),"",(G26-F26)/F26*100),"")</f>
        <v/>
      </c>
      <c r="J26" s="85">
        <f>IFERROR(IF(OR(D26="",H26=""),"",H26-D26),"")</f>
        <v/>
      </c>
      <c r="K26" s="78">
        <f>IF(AND(I26="",J26=""),"",IF(OR(AND(I26&lt;&gt;"",ABS(I26)&gt;TolI_pct),AND(J26&lt;&gt;"",ABS(J26)&gt;TolAngle_deg)),"FAIL","PASS"))</f>
        <v/>
      </c>
      <c r="L26" s="80" t="n"/>
    </row>
    <row r="27" ht="18" customHeight="1" s="41">
      <c r="B27" s="81" t="n">
        <v>1</v>
      </c>
      <c r="C27" s="87" t="n">
        <v>1</v>
      </c>
      <c r="D27" s="88" t="n">
        <v>-120</v>
      </c>
      <c r="E27" s="83" t="inlineStr">
        <is>
          <t>L2 stator</t>
        </is>
      </c>
      <c r="F27" s="89">
        <f>IFERROR(C27*Ratio_CTstator,"")</f>
        <v/>
      </c>
      <c r="G27" s="90" t="n"/>
      <c r="H27" s="88" t="n"/>
      <c r="I27" s="89">
        <f>IFERROR(IF(OR(F27="",G27=""),"",(G27-F27)/F27*100),"")</f>
        <v/>
      </c>
      <c r="J27" s="89">
        <f>IFERROR(IF(OR(D27="",H27=""),"",H27-D27),"")</f>
        <v/>
      </c>
      <c r="K27" s="81">
        <f>IF(AND(I27="",J27=""),"",IF(OR(AND(I27&lt;&gt;"",ABS(I27)&gt;TolI_pct),AND(J27&lt;&gt;"",ABS(J27)&gt;TolAngle_deg)),"FAIL","PASS"))</f>
        <v/>
      </c>
      <c r="L27" s="83" t="n"/>
    </row>
    <row r="28" ht="18" customHeight="1" s="41">
      <c r="B28" s="78" t="n">
        <v>1</v>
      </c>
      <c r="C28" s="84" t="n">
        <v>1</v>
      </c>
      <c r="D28" s="66" t="n">
        <v>120</v>
      </c>
      <c r="E28" s="80" t="inlineStr">
        <is>
          <t>L3 stator</t>
        </is>
      </c>
      <c r="F28" s="85">
        <f>IFERROR(C28*Ratio_CTstator,"")</f>
        <v/>
      </c>
      <c r="G28" s="86" t="n"/>
      <c r="H28" s="66" t="n"/>
      <c r="I28" s="85">
        <f>IFERROR(IF(OR(F28="",G28=""),"",(G28-F28)/F28*100),"")</f>
        <v/>
      </c>
      <c r="J28" s="85">
        <f>IFERROR(IF(OR(D28="",H28=""),"",H28-D28),"")</f>
        <v/>
      </c>
      <c r="K28" s="78">
        <f>IF(AND(I28="",J28=""),"",IF(OR(AND(I28&lt;&gt;"",ABS(I28)&gt;TolI_pct),AND(J28&lt;&gt;"",ABS(J28)&gt;TolAngle_deg)),"FAIL","PASS"))</f>
        <v/>
      </c>
      <c r="L28" s="80" t="n"/>
    </row>
    <row r="29" ht="18" customHeight="1" s="41">
      <c r="B29" s="81" t="n">
        <v>2</v>
      </c>
      <c r="C29" s="87" t="n">
        <v>5</v>
      </c>
      <c r="D29" s="88" t="n">
        <v>0</v>
      </c>
      <c r="E29" s="83" t="inlineStr">
        <is>
          <t>L1 stator</t>
        </is>
      </c>
      <c r="F29" s="89">
        <f>IFERROR(C29*Ratio_CTstator,"")</f>
        <v/>
      </c>
      <c r="G29" s="90" t="n"/>
      <c r="H29" s="88" t="n"/>
      <c r="I29" s="89">
        <f>IFERROR(IF(OR(F29="",G29=""),"",(G29-F29)/F29*100),"")</f>
        <v/>
      </c>
      <c r="J29" s="89">
        <f>IFERROR(IF(OR(D29="",H29=""),"",H29-D29),"")</f>
        <v/>
      </c>
      <c r="K29" s="81">
        <f>IF(AND(I29="",J29=""),"",IF(OR(AND(I29&lt;&gt;"",ABS(I29)&gt;TolI_pct),AND(J29&lt;&gt;"",ABS(J29)&gt;TolAngle_deg)),"FAIL","PASS"))</f>
        <v/>
      </c>
      <c r="L29" s="83" t="n"/>
    </row>
    <row r="30" ht="18" customHeight="1" s="41">
      <c r="B30" s="78" t="n">
        <v>2</v>
      </c>
      <c r="C30" s="84" t="n">
        <v>5</v>
      </c>
      <c r="D30" s="66" t="n">
        <v>-120</v>
      </c>
      <c r="E30" s="80" t="inlineStr">
        <is>
          <t>L2 stator</t>
        </is>
      </c>
      <c r="F30" s="85">
        <f>IFERROR(C30*Ratio_CTstator,"")</f>
        <v/>
      </c>
      <c r="G30" s="86" t="n"/>
      <c r="H30" s="66" t="n"/>
      <c r="I30" s="85">
        <f>IFERROR(IF(OR(F30="",G30=""),"",(G30-F30)/F30*100),"")</f>
        <v/>
      </c>
      <c r="J30" s="85">
        <f>IFERROR(IF(OR(D30="",H30=""),"",H30-D30),"")</f>
        <v/>
      </c>
      <c r="K30" s="78">
        <f>IF(AND(I30="",J30=""),"",IF(OR(AND(I30&lt;&gt;"",ABS(I30)&gt;TolI_pct),AND(J30&lt;&gt;"",ABS(J30)&gt;TolAngle_deg)),"FAIL","PASS"))</f>
        <v/>
      </c>
      <c r="L30" s="80" t="n"/>
    </row>
    <row r="31" ht="18" customHeight="1" s="41">
      <c r="B31" s="81" t="n">
        <v>2</v>
      </c>
      <c r="C31" s="87" t="n">
        <v>5</v>
      </c>
      <c r="D31" s="88" t="n">
        <v>120</v>
      </c>
      <c r="E31" s="83" t="inlineStr">
        <is>
          <t>L3 stator</t>
        </is>
      </c>
      <c r="F31" s="89">
        <f>IFERROR(C31*Ratio_CTstator,"")</f>
        <v/>
      </c>
      <c r="G31" s="90" t="n"/>
      <c r="H31" s="88" t="n"/>
      <c r="I31" s="89">
        <f>IFERROR(IF(OR(F31="",G31=""),"",(G31-F31)/F31*100),"")</f>
        <v/>
      </c>
      <c r="J31" s="89">
        <f>IFERROR(IF(OR(D31="",H31=""),"",H31-D31),"")</f>
        <v/>
      </c>
      <c r="K31" s="81">
        <f>IF(AND(I31="",J31=""),"",IF(OR(AND(I31&lt;&gt;"",ABS(I31)&gt;TolI_pct),AND(J31&lt;&gt;"",ABS(J31)&gt;TolAngle_deg)),"FAIL","PASS"))</f>
        <v/>
      </c>
      <c r="L31" s="83" t="n"/>
    </row>
    <row r="32" ht="18" customHeight="1" s="41">
      <c r="B32" s="78" t="n">
        <v>3</v>
      </c>
      <c r="C32" s="84" t="n">
        <v>0.2</v>
      </c>
      <c r="D32" s="66" t="n">
        <v>0</v>
      </c>
      <c r="E32" s="80" t="inlineStr">
        <is>
          <t>L1 stator</t>
        </is>
      </c>
      <c r="F32" s="85">
        <f>IFERROR(C32*Ratio_CTstator,"")</f>
        <v/>
      </c>
      <c r="G32" s="86" t="n"/>
      <c r="H32" s="66" t="n"/>
      <c r="I32" s="85">
        <f>IFERROR(IF(OR(F32="",G32=""),"",(G32-F32)/F32*100),"")</f>
        <v/>
      </c>
      <c r="J32" s="85">
        <f>IFERROR(IF(OR(D32="",H32=""),"",H32-D32),"")</f>
        <v/>
      </c>
      <c r="K32" s="78">
        <f>IF(AND(I32="",J32=""),"",IF(OR(AND(I32&lt;&gt;"",ABS(I32)&gt;TolI_pct),AND(J32&lt;&gt;"",ABS(J32)&gt;TolAngle_deg)),"FAIL","PASS"))</f>
        <v/>
      </c>
      <c r="L32" s="80" t="n"/>
    </row>
    <row r="33" ht="18" customHeight="1" s="41">
      <c r="B33" s="81" t="n">
        <v>3</v>
      </c>
      <c r="C33" s="87" t="n">
        <v>0.2</v>
      </c>
      <c r="D33" s="88" t="n">
        <v>-120</v>
      </c>
      <c r="E33" s="83" t="inlineStr">
        <is>
          <t>L2 stator</t>
        </is>
      </c>
      <c r="F33" s="89">
        <f>IFERROR(C33*Ratio_CTstator,"")</f>
        <v/>
      </c>
      <c r="G33" s="90" t="n"/>
      <c r="H33" s="88" t="n"/>
      <c r="I33" s="89">
        <f>IFERROR(IF(OR(F33="",G33=""),"",(G33-F33)/F33*100),"")</f>
        <v/>
      </c>
      <c r="J33" s="89">
        <f>IFERROR(IF(OR(D33="",H33=""),"",H33-D33),"")</f>
        <v/>
      </c>
      <c r="K33" s="81">
        <f>IF(AND(I33="",J33=""),"",IF(OR(AND(I33&lt;&gt;"",ABS(I33)&gt;TolI_pct),AND(J33&lt;&gt;"",ABS(J33)&gt;TolAngle_deg)),"FAIL","PASS"))</f>
        <v/>
      </c>
      <c r="L33" s="83" t="n"/>
    </row>
    <row r="34" ht="18" customHeight="1" s="41">
      <c r="B34" s="78" t="n">
        <v>3</v>
      </c>
      <c r="C34" s="84" t="n">
        <v>0.2</v>
      </c>
      <c r="D34" s="66" t="n">
        <v>120</v>
      </c>
      <c r="E34" s="80" t="inlineStr">
        <is>
          <t>L3 stator</t>
        </is>
      </c>
      <c r="F34" s="85">
        <f>IFERROR(C34*Ratio_CTstator,"")</f>
        <v/>
      </c>
      <c r="G34" s="86" t="n"/>
      <c r="H34" s="66" t="n"/>
      <c r="I34" s="85">
        <f>IFERROR(IF(OR(F34="",G34=""),"",(G34-F34)/F34*100),"")</f>
        <v/>
      </c>
      <c r="J34" s="85">
        <f>IFERROR(IF(OR(D34="",H34=""),"",H34-D34),"")</f>
        <v/>
      </c>
      <c r="K34" s="78">
        <f>IF(AND(I34="",J34=""),"",IF(OR(AND(I34&lt;&gt;"",ABS(I34)&gt;TolI_pct),AND(J34&lt;&gt;"",ABS(J34)&gt;TolAngle_deg)),"FAIL","PASS"))</f>
        <v/>
      </c>
      <c r="L34" s="80" t="n"/>
    </row>
    <row r="36" ht="21.75" customHeight="1" s="41">
      <c r="B36" s="44" t="inlineStr">
        <is>
          <t>4.4 Neutral-Side CT — Three-Phase Current Injection (Primary verification)</t>
        </is>
      </c>
    </row>
    <row r="37" ht="30" customHeight="1" s="41">
      <c r="B37" s="64" t="inlineStr">
        <is>
          <t>Step</t>
        </is>
      </c>
      <c r="C37" s="64" t="inlineStr">
        <is>
          <t>Injected (A sec)</t>
        </is>
      </c>
      <c r="D37" s="64" t="inlineStr">
        <is>
          <t>Inj Angle (°)</t>
        </is>
      </c>
      <c r="E37" s="64" t="inlineStr">
        <is>
          <t>Phase / Input</t>
        </is>
      </c>
      <c r="F37" s="64" t="inlineStr">
        <is>
          <t>Expected Primary (A)</t>
        </is>
      </c>
      <c r="G37" s="64" t="inlineStr">
        <is>
          <t>Relay Primary</t>
        </is>
      </c>
      <c r="H37" s="64" t="inlineStr">
        <is>
          <t>Relay Angle (°)</t>
        </is>
      </c>
      <c r="I37" s="64" t="inlineStr">
        <is>
          <t>Mag Err (%)</t>
        </is>
      </c>
      <c r="J37" s="64" t="inlineStr">
        <is>
          <t>Angle Err (°)</t>
        </is>
      </c>
      <c r="K37" s="64" t="inlineStr">
        <is>
          <t>P / F</t>
        </is>
      </c>
      <c r="L37" s="64" t="inlineStr">
        <is>
          <t>Notes</t>
        </is>
      </c>
    </row>
    <row r="38" ht="18" customHeight="1" s="41">
      <c r="B38" s="78" t="n">
        <v>1</v>
      </c>
      <c r="C38" s="84" t="n">
        <v>1</v>
      </c>
      <c r="D38" s="66" t="n">
        <v>0</v>
      </c>
      <c r="E38" s="80" t="inlineStr">
        <is>
          <t>L1 neutral</t>
        </is>
      </c>
      <c r="F38" s="85">
        <f>IFERROR(C38*Ratio_CTneut,"")</f>
        <v/>
      </c>
      <c r="G38" s="86" t="n"/>
      <c r="H38" s="66" t="n"/>
      <c r="I38" s="85">
        <f>IFERROR(IF(OR(F38="",G38=""),"",(G38-F38)/F38*100),"")</f>
        <v/>
      </c>
      <c r="J38" s="85">
        <f>IFERROR(IF(OR(D38="",H38=""),"",H38-D38),"")</f>
        <v/>
      </c>
      <c r="K38" s="78">
        <f>IF(AND(I38="",J38=""),"",IF(OR(AND(I38&lt;&gt;"",ABS(I38)&gt;TolI_pct),AND(J38&lt;&gt;"",ABS(J38)&gt;TolAngle_deg)),"FAIL","PASS"))</f>
        <v/>
      </c>
      <c r="L38" s="80" t="n"/>
    </row>
    <row r="39" ht="18" customHeight="1" s="41">
      <c r="B39" s="81" t="n">
        <v>1</v>
      </c>
      <c r="C39" s="87" t="n">
        <v>1</v>
      </c>
      <c r="D39" s="88" t="n">
        <v>-120</v>
      </c>
      <c r="E39" s="83" t="inlineStr">
        <is>
          <t>L2 neutral</t>
        </is>
      </c>
      <c r="F39" s="89">
        <f>IFERROR(C39*Ratio_CTneut,"")</f>
        <v/>
      </c>
      <c r="G39" s="90" t="n"/>
      <c r="H39" s="88" t="n"/>
      <c r="I39" s="89">
        <f>IFERROR(IF(OR(F39="",G39=""),"",(G39-F39)/F39*100),"")</f>
        <v/>
      </c>
      <c r="J39" s="89">
        <f>IFERROR(IF(OR(D39="",H39=""),"",H39-D39),"")</f>
        <v/>
      </c>
      <c r="K39" s="81">
        <f>IF(AND(I39="",J39=""),"",IF(OR(AND(I39&lt;&gt;"",ABS(I39)&gt;TolI_pct),AND(J39&lt;&gt;"",ABS(J39)&gt;TolAngle_deg)),"FAIL","PASS"))</f>
        <v/>
      </c>
      <c r="L39" s="83" t="n"/>
    </row>
    <row r="40" ht="18" customHeight="1" s="41">
      <c r="B40" s="78" t="n">
        <v>1</v>
      </c>
      <c r="C40" s="84" t="n">
        <v>1</v>
      </c>
      <c r="D40" s="66" t="n">
        <v>120</v>
      </c>
      <c r="E40" s="80" t="inlineStr">
        <is>
          <t>L3 neutral</t>
        </is>
      </c>
      <c r="F40" s="85">
        <f>IFERROR(C40*Ratio_CTneut,"")</f>
        <v/>
      </c>
      <c r="G40" s="86" t="n"/>
      <c r="H40" s="66" t="n"/>
      <c r="I40" s="85">
        <f>IFERROR(IF(OR(F40="",G40=""),"",(G40-F40)/F40*100),"")</f>
        <v/>
      </c>
      <c r="J40" s="85">
        <f>IFERROR(IF(OR(D40="",H40=""),"",H40-D40),"")</f>
        <v/>
      </c>
      <c r="K40" s="78">
        <f>IF(AND(I40="",J40=""),"",IF(OR(AND(I40&lt;&gt;"",ABS(I40)&gt;TolI_pct),AND(J40&lt;&gt;"",ABS(J40)&gt;TolAngle_deg)),"FAIL","PASS"))</f>
        <v/>
      </c>
      <c r="L40" s="80" t="n"/>
    </row>
    <row r="41" ht="18" customHeight="1" s="41">
      <c r="B41" s="81" t="n">
        <v>2</v>
      </c>
      <c r="C41" s="87" t="n">
        <v>5</v>
      </c>
      <c r="D41" s="88" t="n">
        <v>0</v>
      </c>
      <c r="E41" s="83" t="inlineStr">
        <is>
          <t>L1 neutral</t>
        </is>
      </c>
      <c r="F41" s="89">
        <f>IFERROR(C41*Ratio_CTneut,"")</f>
        <v/>
      </c>
      <c r="G41" s="90" t="n"/>
      <c r="H41" s="88" t="n"/>
      <c r="I41" s="89">
        <f>IFERROR(IF(OR(F41="",G41=""),"",(G41-F41)/F41*100),"")</f>
        <v/>
      </c>
      <c r="J41" s="89">
        <f>IFERROR(IF(OR(D41="",H41=""),"",H41-D41),"")</f>
        <v/>
      </c>
      <c r="K41" s="81">
        <f>IF(AND(I41="",J41=""),"",IF(OR(AND(I41&lt;&gt;"",ABS(I41)&gt;TolI_pct),AND(J41&lt;&gt;"",ABS(J41)&gt;TolAngle_deg)),"FAIL","PASS"))</f>
        <v/>
      </c>
      <c r="L41" s="83" t="n"/>
    </row>
    <row r="42" ht="18" customHeight="1" s="41">
      <c r="B42" s="78" t="n">
        <v>2</v>
      </c>
      <c r="C42" s="84" t="n">
        <v>5</v>
      </c>
      <c r="D42" s="66" t="n">
        <v>-120</v>
      </c>
      <c r="E42" s="80" t="inlineStr">
        <is>
          <t>L2 neutral</t>
        </is>
      </c>
      <c r="F42" s="85">
        <f>IFERROR(C42*Ratio_CTneut,"")</f>
        <v/>
      </c>
      <c r="G42" s="86" t="n"/>
      <c r="H42" s="66" t="n"/>
      <c r="I42" s="85">
        <f>IFERROR(IF(OR(F42="",G42=""),"",(G42-F42)/F42*100),"")</f>
        <v/>
      </c>
      <c r="J42" s="85">
        <f>IFERROR(IF(OR(D42="",H42=""),"",H42-D42),"")</f>
        <v/>
      </c>
      <c r="K42" s="78">
        <f>IF(AND(I42="",J42=""),"",IF(OR(AND(I42&lt;&gt;"",ABS(I42)&gt;TolI_pct),AND(J42&lt;&gt;"",ABS(J42)&gt;TolAngle_deg)),"FAIL","PASS"))</f>
        <v/>
      </c>
      <c r="L42" s="80" t="n"/>
    </row>
    <row r="43" ht="18" customHeight="1" s="41">
      <c r="B43" s="81" t="n">
        <v>2</v>
      </c>
      <c r="C43" s="87" t="n">
        <v>5</v>
      </c>
      <c r="D43" s="88" t="n">
        <v>120</v>
      </c>
      <c r="E43" s="83" t="inlineStr">
        <is>
          <t>L3 neutral</t>
        </is>
      </c>
      <c r="F43" s="89">
        <f>IFERROR(C43*Ratio_CTneut,"")</f>
        <v/>
      </c>
      <c r="G43" s="90" t="n"/>
      <c r="H43" s="88" t="n"/>
      <c r="I43" s="89">
        <f>IFERROR(IF(OR(F43="",G43=""),"",(G43-F43)/F43*100),"")</f>
        <v/>
      </c>
      <c r="J43" s="89">
        <f>IFERROR(IF(OR(D43="",H43=""),"",H43-D43),"")</f>
        <v/>
      </c>
      <c r="K43" s="81">
        <f>IF(AND(I43="",J43=""),"",IF(OR(AND(I43&lt;&gt;"",ABS(I43)&gt;TolI_pct),AND(J43&lt;&gt;"",ABS(J43)&gt;TolAngle_deg)),"FAIL","PASS"))</f>
        <v/>
      </c>
      <c r="L43" s="83" t="n"/>
    </row>
    <row r="44" ht="18" customHeight="1" s="41">
      <c r="B44" s="78" t="n">
        <v>3</v>
      </c>
      <c r="C44" s="84" t="n">
        <v>0.2</v>
      </c>
      <c r="D44" s="66" t="n">
        <v>0</v>
      </c>
      <c r="E44" s="80" t="inlineStr">
        <is>
          <t>L1 neutral</t>
        </is>
      </c>
      <c r="F44" s="85">
        <f>IFERROR(C44*Ratio_CTneut,"")</f>
        <v/>
      </c>
      <c r="G44" s="86" t="n"/>
      <c r="H44" s="66" t="n"/>
      <c r="I44" s="85">
        <f>IFERROR(IF(OR(F44="",G44=""),"",(G44-F44)/F44*100),"")</f>
        <v/>
      </c>
      <c r="J44" s="85">
        <f>IFERROR(IF(OR(D44="",H44=""),"",H44-D44),"")</f>
        <v/>
      </c>
      <c r="K44" s="78">
        <f>IF(AND(I44="",J44=""),"",IF(OR(AND(I44&lt;&gt;"",ABS(I44)&gt;TolI_pct),AND(J44&lt;&gt;"",ABS(J44)&gt;TolAngle_deg)),"FAIL","PASS"))</f>
        <v/>
      </c>
      <c r="L44" s="80" t="n"/>
    </row>
    <row r="45" ht="18" customHeight="1" s="41">
      <c r="B45" s="81" t="n">
        <v>3</v>
      </c>
      <c r="C45" s="87" t="n">
        <v>0.2</v>
      </c>
      <c r="D45" s="88" t="n">
        <v>-120</v>
      </c>
      <c r="E45" s="83" t="inlineStr">
        <is>
          <t>L2 neutral</t>
        </is>
      </c>
      <c r="F45" s="89">
        <f>IFERROR(C45*Ratio_CTneut,"")</f>
        <v/>
      </c>
      <c r="G45" s="90" t="n"/>
      <c r="H45" s="88" t="n"/>
      <c r="I45" s="89">
        <f>IFERROR(IF(OR(F45="",G45=""),"",(G45-F45)/F45*100),"")</f>
        <v/>
      </c>
      <c r="J45" s="89">
        <f>IFERROR(IF(OR(D45="",H45=""),"",H45-D45),"")</f>
        <v/>
      </c>
      <c r="K45" s="81">
        <f>IF(AND(I45="",J45=""),"",IF(OR(AND(I45&lt;&gt;"",ABS(I45)&gt;TolI_pct),AND(J45&lt;&gt;"",ABS(J45)&gt;TolAngle_deg)),"FAIL","PASS"))</f>
        <v/>
      </c>
      <c r="L45" s="83" t="n"/>
    </row>
    <row r="46" ht="18" customHeight="1" s="41">
      <c r="B46" s="78" t="n">
        <v>3</v>
      </c>
      <c r="C46" s="84" t="n">
        <v>0.2</v>
      </c>
      <c r="D46" s="66" t="n">
        <v>120</v>
      </c>
      <c r="E46" s="80" t="inlineStr">
        <is>
          <t>L3 neutral</t>
        </is>
      </c>
      <c r="F46" s="85">
        <f>IFERROR(C46*Ratio_CTneut,"")</f>
        <v/>
      </c>
      <c r="G46" s="86" t="n"/>
      <c r="H46" s="66" t="n"/>
      <c r="I46" s="85">
        <f>IFERROR(IF(OR(F46="",G46=""),"",(G46-F46)/F46*100),"")</f>
        <v/>
      </c>
      <c r="J46" s="85">
        <f>IFERROR(IF(OR(D46="",H46=""),"",H46-D46),"")</f>
        <v/>
      </c>
      <c r="K46" s="78">
        <f>IF(AND(I46="",J46=""),"",IF(OR(AND(I46&lt;&gt;"",ABS(I46)&gt;TolI_pct),AND(J46&lt;&gt;"",ABS(J46)&gt;TolAngle_deg)),"FAIL","PASS"))</f>
        <v/>
      </c>
      <c r="L46" s="80" t="n"/>
    </row>
  </sheetData>
  <mergeCells count="7">
    <mergeCell ref="B4:L4"/>
    <mergeCell ref="B24:L24"/>
    <mergeCell ref="B2:L2"/>
    <mergeCell ref="B5:L5"/>
    <mergeCell ref="B3:L3"/>
    <mergeCell ref="B36:L36"/>
    <mergeCell ref="B17:L17"/>
  </mergeCells>
  <conditionalFormatting sqref="K7:K15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conditionalFormatting sqref="K19:K22">
    <cfRule type="cellIs" rank="0" priority="4" equalAverage="0" operator="equal" aboveAverage="0" dxfId="0" text="" percent="0" bottom="0">
      <formula>"PASS"</formula>
    </cfRule>
    <cfRule type="cellIs" rank="0" priority="5" equalAverage="0" operator="equal" aboveAverage="0" dxfId="1" text="" percent="0" bottom="0">
      <formula>"FAIL"</formula>
    </cfRule>
  </conditionalFormatting>
  <conditionalFormatting sqref="K26:K34">
    <cfRule type="cellIs" rank="0" priority="6" equalAverage="0" operator="equal" aboveAverage="0" dxfId="0" text="" percent="0" bottom="0">
      <formula>"PASS"</formula>
    </cfRule>
    <cfRule type="cellIs" rank="0" priority="7" equalAverage="0" operator="equal" aboveAverage="0" dxfId="1" text="" percent="0" bottom="0">
      <formula>"FAIL"</formula>
    </cfRule>
  </conditionalFormatting>
  <conditionalFormatting sqref="K38:K46">
    <cfRule type="cellIs" rank="0" priority="8" equalAverage="0" operator="equal" aboveAverage="0" dxfId="0" text="" percent="0" bottom="0">
      <formula>"PASS"</formula>
    </cfRule>
    <cfRule type="cellIs" rank="0" priority="9" equalAverage="0" operator="equal" aboveAverage="0" dxfId="1" text="" percent="0" bottom="0">
      <formula>"FAIL"</formula>
    </cfRule>
  </conditionalFormatting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I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12" customWidth="1" style="40" min="2" max="2"/>
    <col width="36" customWidth="1" style="40" min="3" max="3"/>
    <col width="16" customWidth="1" style="40" min="4" max="4"/>
    <col width="14" customWidth="1" style="40" min="5" max="5"/>
    <col width="18" customWidth="1" style="40" min="6" max="6"/>
    <col width="14" customWidth="1" style="40" min="7" max="7"/>
    <col width="18" customWidth="1" style="40" min="8" max="8"/>
    <col width="14" customWidth="1" style="40" min="9" max="9"/>
  </cols>
  <sheetData>
    <row r="2" ht="22.05" customHeight="1" s="41">
      <c r="B2" s="42" t="inlineStr">
        <is>
          <t>Binary Input / Output Functional Tests</t>
        </is>
      </c>
    </row>
    <row r="4" ht="21.75" customHeight="1" s="41">
      <c r="B4" s="44" t="inlineStr">
        <is>
          <t>5.1 Relay Binary Inputs</t>
        </is>
      </c>
    </row>
    <row r="5" ht="24" customHeight="1" s="41">
      <c r="B5" s="64" t="inlineStr">
        <is>
          <t>Input</t>
        </is>
      </c>
      <c r="C5" s="64" t="inlineStr">
        <is>
          <t>Description / Source</t>
        </is>
      </c>
      <c r="D5" s="64" t="inlineStr">
        <is>
          <t>Pickup V (V)</t>
        </is>
      </c>
      <c r="E5" s="64" t="inlineStr">
        <is>
          <t>Asserted? (Y/N)</t>
        </is>
      </c>
      <c r="F5" s="64" t="inlineStr">
        <is>
          <t>SER captured? (Y/N)</t>
        </is>
      </c>
      <c r="G5" s="64" t="inlineStr">
        <is>
          <t>Status</t>
        </is>
      </c>
      <c r="H5" s="64" t="inlineStr">
        <is>
          <t>Notes</t>
        </is>
      </c>
      <c r="I5" s="64" t="inlineStr">
        <is>
          <t>Initials</t>
        </is>
      </c>
    </row>
    <row r="6" ht="15" customHeight="1" s="41">
      <c r="B6" s="80" t="inlineStr">
        <is>
          <t>IN101</t>
        </is>
      </c>
      <c r="C6" s="80" t="n"/>
      <c r="D6" s="66" t="n"/>
      <c r="E6" s="80" t="n"/>
      <c r="F6" s="80" t="n"/>
      <c r="G6" s="80" t="n"/>
      <c r="H6" s="80" t="n"/>
      <c r="I6" s="80" t="n"/>
    </row>
    <row r="7" ht="15" customHeight="1" s="41">
      <c r="B7" s="83" t="inlineStr">
        <is>
          <t>IN102</t>
        </is>
      </c>
      <c r="C7" s="83" t="n"/>
      <c r="D7" s="88" t="n"/>
      <c r="E7" s="83" t="n"/>
      <c r="F7" s="83" t="n"/>
      <c r="G7" s="83" t="n"/>
      <c r="H7" s="83" t="n"/>
      <c r="I7" s="83" t="n"/>
    </row>
    <row r="8" ht="15" customHeight="1" s="41">
      <c r="B8" s="80" t="inlineStr">
        <is>
          <t>IN103</t>
        </is>
      </c>
      <c r="C8" s="80" t="n"/>
      <c r="D8" s="66" t="n"/>
      <c r="E8" s="80" t="n"/>
      <c r="F8" s="80" t="n"/>
      <c r="G8" s="80" t="n"/>
      <c r="H8" s="80" t="n"/>
      <c r="I8" s="80" t="n"/>
    </row>
    <row r="9" ht="15" customHeight="1" s="41">
      <c r="B9" s="83" t="inlineStr">
        <is>
          <t>IN104</t>
        </is>
      </c>
      <c r="C9" s="83" t="n"/>
      <c r="D9" s="88" t="n"/>
      <c r="E9" s="83" t="n"/>
      <c r="F9" s="83" t="n"/>
      <c r="G9" s="83" t="n"/>
      <c r="H9" s="83" t="n"/>
      <c r="I9" s="83" t="n"/>
    </row>
    <row r="10" ht="15" customHeight="1" s="41">
      <c r="B10" s="80" t="inlineStr">
        <is>
          <t>IN105</t>
        </is>
      </c>
      <c r="C10" s="80" t="n"/>
      <c r="D10" s="66" t="n"/>
      <c r="E10" s="80" t="n"/>
      <c r="F10" s="80" t="n"/>
      <c r="G10" s="80" t="n"/>
      <c r="H10" s="80" t="n"/>
      <c r="I10" s="80" t="n"/>
    </row>
    <row r="11" ht="15" customHeight="1" s="41">
      <c r="B11" s="83" t="inlineStr">
        <is>
          <t>IN106</t>
        </is>
      </c>
      <c r="C11" s="83" t="n"/>
      <c r="D11" s="88" t="n"/>
      <c r="E11" s="83" t="n"/>
      <c r="F11" s="83" t="n"/>
      <c r="G11" s="83" t="n"/>
      <c r="H11" s="83" t="n"/>
      <c r="I11" s="83" t="n"/>
    </row>
    <row r="12" ht="15" customHeight="1" s="41">
      <c r="B12" s="80" t="inlineStr">
        <is>
          <t>IN201</t>
        </is>
      </c>
      <c r="C12" s="80" t="n"/>
      <c r="D12" s="66" t="n"/>
      <c r="E12" s="80" t="n"/>
      <c r="F12" s="80" t="n"/>
      <c r="G12" s="80" t="n"/>
      <c r="H12" s="80" t="n"/>
      <c r="I12" s="80" t="n"/>
    </row>
    <row r="13" ht="15" customHeight="1" s="41">
      <c r="B13" s="83" t="inlineStr">
        <is>
          <t>IN202</t>
        </is>
      </c>
      <c r="C13" s="83" t="n"/>
      <c r="D13" s="88" t="n"/>
      <c r="E13" s="83" t="n"/>
      <c r="F13" s="83" t="n"/>
      <c r="G13" s="83" t="n"/>
      <c r="H13" s="83" t="n"/>
      <c r="I13" s="83" t="n"/>
    </row>
    <row r="14" ht="15" customHeight="1" s="41">
      <c r="B14" s="80" t="n"/>
      <c r="C14" s="80" t="n"/>
      <c r="D14" s="66" t="n"/>
      <c r="E14" s="80" t="n"/>
      <c r="F14" s="80" t="n"/>
      <c r="G14" s="80" t="n"/>
      <c r="H14" s="80" t="n"/>
      <c r="I14" s="80" t="n"/>
    </row>
    <row r="15" ht="15" customHeight="1" s="41">
      <c r="B15" s="83" t="n"/>
      <c r="C15" s="83" t="n"/>
      <c r="D15" s="88" t="n"/>
      <c r="E15" s="83" t="n"/>
      <c r="F15" s="83" t="n"/>
      <c r="G15" s="83" t="n"/>
      <c r="H15" s="83" t="n"/>
      <c r="I15" s="83" t="n"/>
    </row>
    <row r="17" ht="21.75" customHeight="1" s="41">
      <c r="B17" s="44" t="inlineStr">
        <is>
          <t>5.2 Relay Binary Outputs</t>
        </is>
      </c>
    </row>
    <row r="18" ht="24" customHeight="1" s="41">
      <c r="B18" s="64" t="inlineStr">
        <is>
          <t>Output</t>
        </is>
      </c>
      <c r="C18" s="64" t="inlineStr">
        <is>
          <t>Driven by / Function</t>
        </is>
      </c>
      <c r="D18" s="64" t="inlineStr">
        <is>
          <t>Pulse cmd.</t>
        </is>
      </c>
      <c r="E18" s="64" t="inlineStr">
        <is>
          <t>Continuity (Y/N)</t>
        </is>
      </c>
      <c r="F18" s="64" t="inlineStr">
        <is>
          <t>Operates target (Y/N)</t>
        </is>
      </c>
      <c r="G18" s="64" t="inlineStr">
        <is>
          <t>Status</t>
        </is>
      </c>
      <c r="H18" s="64" t="inlineStr">
        <is>
          <t>Notes</t>
        </is>
      </c>
      <c r="I18" s="64" t="inlineStr">
        <is>
          <t>Initials</t>
        </is>
      </c>
    </row>
    <row r="19" ht="15" customHeight="1" s="41">
      <c r="B19" s="80" t="inlineStr">
        <is>
          <t>OUT101</t>
        </is>
      </c>
      <c r="C19" s="80" t="n"/>
      <c r="D19" s="80" t="inlineStr">
        <is>
          <t>PUL OUT101</t>
        </is>
      </c>
      <c r="E19" s="80" t="n"/>
      <c r="F19" s="80" t="n"/>
      <c r="G19" s="80" t="n"/>
      <c r="H19" s="80" t="n"/>
      <c r="I19" s="80" t="n"/>
    </row>
    <row r="20" ht="15" customHeight="1" s="41">
      <c r="B20" s="83" t="inlineStr">
        <is>
          <t>OUT102</t>
        </is>
      </c>
      <c r="C20" s="83" t="n"/>
      <c r="D20" s="83" t="inlineStr">
        <is>
          <t>PUL OUT102</t>
        </is>
      </c>
      <c r="E20" s="83" t="n"/>
      <c r="F20" s="83" t="n"/>
      <c r="G20" s="83" t="n"/>
      <c r="H20" s="83" t="n"/>
      <c r="I20" s="83" t="n"/>
    </row>
    <row r="21" ht="15" customHeight="1" s="41">
      <c r="B21" s="80" t="inlineStr">
        <is>
          <t>OUT103</t>
        </is>
      </c>
      <c r="C21" s="80" t="n"/>
      <c r="D21" s="80" t="inlineStr">
        <is>
          <t>PUL OUT103</t>
        </is>
      </c>
      <c r="E21" s="80" t="n"/>
      <c r="F21" s="80" t="n"/>
      <c r="G21" s="80" t="n"/>
      <c r="H21" s="80" t="n"/>
      <c r="I21" s="80" t="n"/>
    </row>
    <row r="22" ht="15" customHeight="1" s="41">
      <c r="B22" s="83" t="inlineStr">
        <is>
          <t>OUT104</t>
        </is>
      </c>
      <c r="C22" s="83" t="n"/>
      <c r="D22" s="83" t="inlineStr">
        <is>
          <t>PUL OUT104</t>
        </is>
      </c>
      <c r="E22" s="83" t="n"/>
      <c r="F22" s="83" t="n"/>
      <c r="G22" s="83" t="n"/>
      <c r="H22" s="83" t="n"/>
      <c r="I22" s="83" t="n"/>
    </row>
    <row r="23" ht="15" customHeight="1" s="41">
      <c r="B23" s="80" t="inlineStr">
        <is>
          <t>OUT105</t>
        </is>
      </c>
      <c r="C23" s="80" t="n"/>
      <c r="D23" s="80" t="inlineStr">
        <is>
          <t>PUL OUT105</t>
        </is>
      </c>
      <c r="E23" s="80" t="n"/>
      <c r="F23" s="80" t="n"/>
      <c r="G23" s="80" t="n"/>
      <c r="H23" s="80" t="n"/>
      <c r="I23" s="80" t="n"/>
    </row>
    <row r="24" ht="15" customHeight="1" s="41">
      <c r="B24" s="83" t="inlineStr">
        <is>
          <t>OUT201</t>
        </is>
      </c>
      <c r="C24" s="83" t="n"/>
      <c r="D24" s="83" t="inlineStr">
        <is>
          <t>PUL OUT201</t>
        </is>
      </c>
      <c r="E24" s="83" t="n"/>
      <c r="F24" s="83" t="n"/>
      <c r="G24" s="83" t="n"/>
      <c r="H24" s="83" t="n"/>
      <c r="I24" s="83" t="n"/>
    </row>
    <row r="25" ht="15" customHeight="1" s="41">
      <c r="B25" s="80" t="inlineStr">
        <is>
          <t>OUT202</t>
        </is>
      </c>
      <c r="C25" s="80" t="n"/>
      <c r="D25" s="80" t="inlineStr">
        <is>
          <t>PUL OUT202</t>
        </is>
      </c>
      <c r="E25" s="80" t="n"/>
      <c r="F25" s="80" t="n"/>
      <c r="G25" s="80" t="n"/>
      <c r="H25" s="80" t="n"/>
      <c r="I25" s="80" t="n"/>
    </row>
    <row r="26" ht="15" customHeight="1" s="41">
      <c r="B26" s="83" t="inlineStr">
        <is>
          <t>OUT203</t>
        </is>
      </c>
      <c r="C26" s="83" t="n"/>
      <c r="D26" s="83" t="inlineStr">
        <is>
          <t>PUL OUT203</t>
        </is>
      </c>
      <c r="E26" s="83" t="n"/>
      <c r="F26" s="83" t="n"/>
      <c r="G26" s="83" t="n"/>
      <c r="H26" s="83" t="n"/>
      <c r="I26" s="83" t="n"/>
    </row>
    <row r="27" ht="15" customHeight="1" s="41">
      <c r="B27" s="80" t="n"/>
      <c r="C27" s="80" t="n"/>
      <c r="D27" s="80" t="n"/>
      <c r="E27" s="80" t="n"/>
      <c r="F27" s="80" t="n"/>
      <c r="G27" s="80" t="n"/>
      <c r="H27" s="80" t="n"/>
      <c r="I27" s="80" t="n"/>
    </row>
    <row r="28" ht="15" customHeight="1" s="41">
      <c r="B28" s="83" t="n"/>
      <c r="C28" s="83" t="n"/>
      <c r="D28" s="83" t="n"/>
      <c r="E28" s="83" t="n"/>
      <c r="F28" s="83" t="n"/>
      <c r="G28" s="83" t="n"/>
      <c r="H28" s="83" t="n"/>
      <c r="I28" s="83" t="n"/>
    </row>
  </sheetData>
  <mergeCells count="3">
    <mergeCell ref="B2:I2"/>
    <mergeCell ref="B4:I4"/>
    <mergeCell ref="B17:I17"/>
  </mergeCells>
  <conditionalFormatting sqref="G6:G15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conditionalFormatting sqref="G19:G28">
    <cfRule type="cellIs" rank="0" priority="4" equalAverage="0" operator="equal" aboveAverage="0" dxfId="0" text="" percent="0" bottom="0">
      <formula>"PASS"</formula>
    </cfRule>
    <cfRule type="cellIs" rank="0" priority="5" equalAverage="0" operator="equal" aboveAverage="0" dxfId="1" text="" percent="0" bottom="0">
      <formula>"FAIL"</formula>
    </cfRule>
  </conditionalFormatting>
  <dataValidations count="2">
    <dataValidation sqref="E6:F15 E19:F28" showDropDown="0" showInputMessage="0" showErrorMessage="0" allowBlank="1" type="list" errorStyle="stop" operator="between">
      <formula1>"Y,N,N/A"</formula1>
      <formula2>0</formula2>
    </dataValidation>
    <dataValidation sqref="G6:G15 G19:G28" showDropDown="0" showInputMessage="0" showErrorMessage="0" allowBlank="1" type="list" errorStyle="stop" operator="between">
      <formula1>"PASS,FAIL,N/A"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B2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10" customWidth="1" style="40" min="2" max="2"/>
    <col width="38" customWidth="1" style="40" min="3" max="3"/>
    <col width="14" customWidth="1" style="40" min="4" max="4"/>
    <col width="18" customWidth="1" style="40" min="5" max="6"/>
    <col width="14" customWidth="1" style="40" min="7" max="7"/>
    <col width="28" customWidth="1" style="40" min="8" max="8"/>
  </cols>
  <sheetData>
    <row r="2" ht="22.05" customHeight="1" s="41">
      <c r="B2" s="42" t="inlineStr">
        <is>
          <t>Protection Element Tracker</t>
        </is>
      </c>
    </row>
    <row r="5" ht="24" customHeight="1" s="41">
      <c r="B5" s="64" t="inlineStr">
        <is>
          <t>ANSI</t>
        </is>
      </c>
      <c r="C5" s="64" t="inlineStr">
        <is>
          <t>Function</t>
        </is>
      </c>
      <c r="D5" s="64" t="inlineStr">
        <is>
          <t>Enabled? (Y/N)</t>
        </is>
      </c>
      <c r="E5" s="64" t="inlineStr">
        <is>
          <t>Last tested (date)</t>
        </is>
      </c>
      <c r="F5" s="64" t="inlineStr">
        <is>
          <t>Test this visit? (Y/N)</t>
        </is>
      </c>
      <c r="G5" s="64" t="inlineStr">
        <is>
          <t>Result</t>
        </is>
      </c>
      <c r="H5" s="64" t="inlineStr">
        <is>
          <t>Notes</t>
        </is>
      </c>
    </row>
    <row r="6" ht="15" customHeight="1" s="41">
      <c r="B6" s="80" t="inlineStr">
        <is>
          <t>87G</t>
        </is>
      </c>
      <c r="C6" s="63" t="inlineStr">
        <is>
          <t>Generator differential</t>
        </is>
      </c>
      <c r="D6" s="80" t="n"/>
      <c r="E6" s="91" t="n"/>
      <c r="F6" s="80" t="n"/>
      <c r="G6" s="80" t="n"/>
      <c r="H6" s="80" t="n"/>
    </row>
    <row r="7" ht="15" customHeight="1" s="41">
      <c r="B7" s="83" t="inlineStr">
        <is>
          <t>87T</t>
        </is>
      </c>
      <c r="C7" s="74" t="inlineStr">
        <is>
          <t>Unit / step-up transformer differential</t>
        </is>
      </c>
      <c r="D7" s="83" t="n"/>
      <c r="E7" s="92" t="n"/>
      <c r="F7" s="83" t="n"/>
      <c r="G7" s="83" t="n"/>
      <c r="H7" s="83" t="n"/>
    </row>
    <row r="8" ht="15" customHeight="1" s="41">
      <c r="B8" s="80" t="inlineStr">
        <is>
          <t>64S</t>
        </is>
      </c>
      <c r="C8" s="63" t="inlineStr">
        <is>
          <t>100% stator earth fault (3rd harm. / inj.)</t>
        </is>
      </c>
      <c r="D8" s="80" t="n"/>
      <c r="E8" s="91" t="n"/>
      <c r="F8" s="80" t="n"/>
      <c r="G8" s="80" t="n"/>
      <c r="H8" s="80" t="n"/>
    </row>
    <row r="9" ht="15" customHeight="1" s="41">
      <c r="B9" s="83" t="inlineStr">
        <is>
          <t>59N</t>
        </is>
      </c>
      <c r="C9" s="74" t="inlineStr">
        <is>
          <t>Stator earth fault (95%)</t>
        </is>
      </c>
      <c r="D9" s="83" t="n"/>
      <c r="E9" s="92" t="n"/>
      <c r="F9" s="83" t="n"/>
      <c r="G9" s="83" t="n"/>
      <c r="H9" s="83" t="n"/>
    </row>
    <row r="10" ht="15" customHeight="1" s="41">
      <c r="B10" s="80" t="inlineStr">
        <is>
          <t>64F</t>
        </is>
      </c>
      <c r="C10" s="63" t="inlineStr">
        <is>
          <t>Field (rotor) earth fault</t>
        </is>
      </c>
      <c r="D10" s="80" t="n"/>
      <c r="E10" s="91" t="n"/>
      <c r="F10" s="80" t="n"/>
      <c r="G10" s="80" t="n"/>
      <c r="H10" s="80" t="n"/>
    </row>
    <row r="11" ht="15" customHeight="1" s="41">
      <c r="B11" s="83" t="inlineStr">
        <is>
          <t>40</t>
        </is>
      </c>
      <c r="C11" s="74" t="inlineStr">
        <is>
          <t>Loss of field / under-excitation</t>
        </is>
      </c>
      <c r="D11" s="83" t="n"/>
      <c r="E11" s="92" t="n"/>
      <c r="F11" s="83" t="n"/>
      <c r="G11" s="83" t="n"/>
      <c r="H11" s="83" t="n"/>
    </row>
    <row r="12" ht="15" customHeight="1" s="41">
      <c r="B12" s="80" t="inlineStr">
        <is>
          <t>32</t>
        </is>
      </c>
      <c r="C12" s="63" t="inlineStr">
        <is>
          <t>Reverse / directional power</t>
        </is>
      </c>
      <c r="D12" s="80" t="n"/>
      <c r="E12" s="91" t="n"/>
      <c r="F12" s="80" t="n"/>
      <c r="G12" s="80" t="n"/>
      <c r="H12" s="80" t="n"/>
    </row>
    <row r="13" ht="15" customHeight="1" s="41">
      <c r="B13" s="83" t="inlineStr">
        <is>
          <t>46</t>
        </is>
      </c>
      <c r="C13" s="74" t="inlineStr">
        <is>
          <t>Negative sequence overcurrent</t>
        </is>
      </c>
      <c r="D13" s="83" t="n"/>
      <c r="E13" s="92" t="n"/>
      <c r="F13" s="83" t="n"/>
      <c r="G13" s="83" t="n"/>
      <c r="H13" s="83" t="n"/>
    </row>
    <row r="14" ht="15" customHeight="1" s="41">
      <c r="B14" s="80" t="inlineStr">
        <is>
          <t>24</t>
        </is>
      </c>
      <c r="C14" s="63" t="inlineStr">
        <is>
          <t>Volts/Hz (overexcitation)</t>
        </is>
      </c>
      <c r="D14" s="80" t="n"/>
      <c r="E14" s="91" t="n"/>
      <c r="F14" s="80" t="n"/>
      <c r="G14" s="80" t="n"/>
      <c r="H14" s="80" t="n"/>
    </row>
    <row r="15" ht="15" customHeight="1" s="41">
      <c r="B15" s="83" t="inlineStr">
        <is>
          <t>27</t>
        </is>
      </c>
      <c r="C15" s="74" t="inlineStr">
        <is>
          <t>Undervoltage</t>
        </is>
      </c>
      <c r="D15" s="83" t="n"/>
      <c r="E15" s="92" t="n"/>
      <c r="F15" s="83" t="n"/>
      <c r="G15" s="83" t="n"/>
      <c r="H15" s="83" t="n"/>
    </row>
    <row r="16" ht="15" customHeight="1" s="41">
      <c r="B16" s="80" t="inlineStr">
        <is>
          <t>59</t>
        </is>
      </c>
      <c r="C16" s="63" t="inlineStr">
        <is>
          <t>Overvoltage</t>
        </is>
      </c>
      <c r="D16" s="80" t="n"/>
      <c r="E16" s="91" t="n"/>
      <c r="F16" s="80" t="n"/>
      <c r="G16" s="80" t="n"/>
      <c r="H16" s="80" t="n"/>
    </row>
    <row r="17" ht="15" customHeight="1" s="41">
      <c r="B17" s="83" t="inlineStr">
        <is>
          <t>81 O</t>
        </is>
      </c>
      <c r="C17" s="74" t="inlineStr">
        <is>
          <t>Over-frequency</t>
        </is>
      </c>
      <c r="D17" s="83" t="n"/>
      <c r="E17" s="92" t="n"/>
      <c r="F17" s="83" t="n"/>
      <c r="G17" s="83" t="n"/>
      <c r="H17" s="83" t="n"/>
    </row>
    <row r="18" ht="15" customHeight="1" s="41">
      <c r="B18" s="80" t="inlineStr">
        <is>
          <t>81 U</t>
        </is>
      </c>
      <c r="C18" s="63" t="inlineStr">
        <is>
          <t>Under-frequency</t>
        </is>
      </c>
      <c r="D18" s="80" t="n"/>
      <c r="E18" s="91" t="n"/>
      <c r="F18" s="80" t="n"/>
      <c r="G18" s="80" t="n"/>
      <c r="H18" s="80" t="n"/>
    </row>
    <row r="19" ht="15" customHeight="1" s="41">
      <c r="B19" s="83" t="inlineStr">
        <is>
          <t>81 R</t>
        </is>
      </c>
      <c r="C19" s="74" t="inlineStr">
        <is>
          <t>Rate-of-change of frequency (df/dt)</t>
        </is>
      </c>
      <c r="D19" s="83" t="n"/>
      <c r="E19" s="92" t="n"/>
      <c r="F19" s="83" t="n"/>
      <c r="G19" s="83" t="n"/>
      <c r="H19" s="83" t="n"/>
    </row>
    <row r="20" ht="15" customHeight="1" s="41">
      <c r="B20" s="80" t="inlineStr">
        <is>
          <t>21</t>
        </is>
      </c>
      <c r="C20" s="63" t="inlineStr">
        <is>
          <t>Distance (system back-up)</t>
        </is>
      </c>
      <c r="D20" s="80" t="n"/>
      <c r="E20" s="91" t="n"/>
      <c r="F20" s="80" t="n"/>
      <c r="G20" s="80" t="n"/>
      <c r="H20" s="80" t="n"/>
    </row>
    <row r="21" ht="15" customHeight="1" s="41">
      <c r="B21" s="83" t="inlineStr">
        <is>
          <t>50/51</t>
        </is>
      </c>
      <c r="C21" s="74" t="inlineStr">
        <is>
          <t>Phase overcurrent / inverse-time</t>
        </is>
      </c>
      <c r="D21" s="83" t="n"/>
      <c r="E21" s="92" t="n"/>
      <c r="F21" s="83" t="n"/>
      <c r="G21" s="83" t="n"/>
      <c r="H21" s="83" t="n"/>
    </row>
    <row r="22" ht="15" customHeight="1" s="41">
      <c r="B22" s="80" t="inlineStr">
        <is>
          <t>50N/51N</t>
        </is>
      </c>
      <c r="C22" s="63" t="inlineStr">
        <is>
          <t>Neutral overcurrent</t>
        </is>
      </c>
      <c r="D22" s="80" t="n"/>
      <c r="E22" s="91" t="n"/>
      <c r="F22" s="80" t="n"/>
      <c r="G22" s="80" t="n"/>
      <c r="H22" s="80" t="n"/>
    </row>
    <row r="23" ht="15" customHeight="1" s="41">
      <c r="B23" s="83" t="inlineStr">
        <is>
          <t>49</t>
        </is>
      </c>
      <c r="C23" s="74" t="inlineStr">
        <is>
          <t>Stator thermal</t>
        </is>
      </c>
      <c r="D23" s="83" t="n"/>
      <c r="E23" s="92" t="n"/>
      <c r="F23" s="83" t="n"/>
      <c r="G23" s="83" t="n"/>
      <c r="H23" s="83" t="n"/>
    </row>
    <row r="24" ht="15" customHeight="1" s="41">
      <c r="B24" s="80" t="inlineStr">
        <is>
          <t>78</t>
        </is>
      </c>
      <c r="C24" s="63" t="inlineStr">
        <is>
          <t>Out-of-step / pole slip</t>
        </is>
      </c>
      <c r="D24" s="80" t="n"/>
      <c r="E24" s="91" t="n"/>
      <c r="F24" s="80" t="n"/>
      <c r="G24" s="80" t="n"/>
      <c r="H24" s="80" t="n"/>
    </row>
    <row r="25" ht="15" customHeight="1" s="41">
      <c r="B25" s="83" t="inlineStr">
        <is>
          <t>60</t>
        </is>
      </c>
      <c r="C25" s="74" t="inlineStr">
        <is>
          <t>VT supervision / fuse failure</t>
        </is>
      </c>
      <c r="D25" s="83" t="n"/>
      <c r="E25" s="92" t="n"/>
      <c r="F25" s="83" t="n"/>
      <c r="G25" s="83" t="n"/>
      <c r="H25" s="83" t="n"/>
    </row>
    <row r="26" ht="15" customHeight="1" s="41">
      <c r="B26" s="80" t="inlineStr">
        <is>
          <t>50BF</t>
        </is>
      </c>
      <c r="C26" s="63" t="inlineStr">
        <is>
          <t>Breaker failure</t>
        </is>
      </c>
      <c r="D26" s="80" t="n"/>
      <c r="E26" s="91" t="n"/>
      <c r="F26" s="80" t="n"/>
      <c r="G26" s="80" t="n"/>
      <c r="H26" s="80" t="n"/>
    </row>
    <row r="27" ht="15" customHeight="1" s="41">
      <c r="B27" s="83" t="inlineStr">
        <is>
          <t>25</t>
        </is>
      </c>
      <c r="C27" s="74" t="inlineStr">
        <is>
          <t>Synchronism / dead-bus check</t>
        </is>
      </c>
      <c r="D27" s="83" t="n"/>
      <c r="E27" s="92" t="n"/>
      <c r="F27" s="83" t="n"/>
      <c r="G27" s="83" t="n"/>
      <c r="H27" s="83" t="n"/>
    </row>
  </sheetData>
  <mergeCells count="1">
    <mergeCell ref="B2:H2"/>
  </mergeCells>
  <conditionalFormatting sqref="G6:G27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dataValidations count="2">
    <dataValidation sqref="D6:D27 F6:F27" showDropDown="0" showInputMessage="0" showErrorMessage="0" allowBlank="1" type="list" errorStyle="stop" operator="between">
      <formula1>"Y,N"</formula1>
      <formula2>0</formula2>
    </dataValidation>
    <dataValidation sqref="G6:G27" showDropDown="0" showInputMessage="0" showErrorMessage="0" allowBlank="1" type="list" errorStyle="stop" operator="between">
      <formula1>"PASS,FAIL,N/A,Not tested"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B2:M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4" customWidth="1" style="40" min="2" max="2"/>
    <col width="10" customWidth="1" style="40" min="3" max="3"/>
    <col width="28" customWidth="1" style="40" min="4" max="4"/>
    <col width="26" customWidth="1" style="40" min="5" max="5"/>
    <col width="14" customWidth="1" style="40" min="6" max="11"/>
    <col width="12" customWidth="1" style="40" min="12" max="12"/>
    <col width="30" customWidth="1" style="40" min="13" max="13"/>
  </cols>
  <sheetData>
    <row r="2" ht="22.05" customHeight="1" s="41">
      <c r="B2" s="42" t="inlineStr">
        <is>
          <t>Per-Element Test Results</t>
        </is>
      </c>
    </row>
    <row r="5" ht="30" customHeight="1" s="41">
      <c r="B5" s="64" t="inlineStr">
        <is>
          <t>#</t>
        </is>
      </c>
      <c r="C5" s="64" t="inlineStr">
        <is>
          <t>ANSI</t>
        </is>
      </c>
      <c r="D5" s="64" t="inlineStr">
        <is>
          <t>Function</t>
        </is>
      </c>
      <c r="E5" s="64" t="inlineStr">
        <is>
          <t>Setting tested</t>
        </is>
      </c>
      <c r="F5" s="64" t="inlineStr">
        <is>
          <t>Pickup setting</t>
        </is>
      </c>
      <c r="G5" s="64" t="inlineStr">
        <is>
          <t>Pickup measured</t>
        </is>
      </c>
      <c r="H5" s="64" t="inlineStr">
        <is>
          <t>Pickup err %</t>
        </is>
      </c>
      <c r="I5" s="64" t="inlineStr">
        <is>
          <t>Time setting (s)</t>
        </is>
      </c>
      <c r="J5" s="64" t="inlineStr">
        <is>
          <t>Time measured (s)</t>
        </is>
      </c>
      <c r="K5" s="64" t="inlineStr">
        <is>
          <t>Time err %</t>
        </is>
      </c>
      <c r="L5" s="64" t="inlineStr">
        <is>
          <t>Result</t>
        </is>
      </c>
      <c r="M5" s="64" t="inlineStr">
        <is>
          <t>Notes</t>
        </is>
      </c>
    </row>
    <row r="6" ht="15" customHeight="1" s="41">
      <c r="B6" s="78" t="n">
        <v>1</v>
      </c>
      <c r="C6" s="63" t="n"/>
      <c r="D6" s="63" t="n"/>
      <c r="E6" s="63" t="n"/>
      <c r="F6" s="84" t="n"/>
      <c r="G6" s="84" t="n"/>
      <c r="H6" s="85">
        <f>IFERROR(IF(OR(F6="",G6=""),"",(G6-F6)/F6*100),"")</f>
        <v/>
      </c>
      <c r="I6" s="84" t="n"/>
      <c r="J6" s="84" t="n"/>
      <c r="K6" s="85">
        <f>IFERROR(IF(OR(I6="",J6=""),"",(J6-I6)/I6*100),"")</f>
        <v/>
      </c>
      <c r="L6" s="78">
        <f>IF(AND(H6="",K6=""),"",IF(OR(AND(H6&lt;&gt;"",ABS(H6)&gt;TolPickup_pct),AND(K6&lt;&gt;"",ABS(K6)&gt;TolTime_pct)),"FAIL","PASS"))</f>
        <v/>
      </c>
      <c r="M6" s="63" t="n"/>
    </row>
    <row r="7" ht="15" customHeight="1" s="41">
      <c r="B7" s="81" t="n">
        <v>2</v>
      </c>
      <c r="C7" s="74" t="n"/>
      <c r="D7" s="74" t="n"/>
      <c r="E7" s="74" t="n"/>
      <c r="F7" s="87" t="n"/>
      <c r="G7" s="87" t="n"/>
      <c r="H7" s="89">
        <f>IFERROR(IF(OR(F7="",G7=""),"",(G7-F7)/F7*100),"")</f>
        <v/>
      </c>
      <c r="I7" s="87" t="n"/>
      <c r="J7" s="87" t="n"/>
      <c r="K7" s="89">
        <f>IFERROR(IF(OR(I7="",J7=""),"",(J7-I7)/I7*100),"")</f>
        <v/>
      </c>
      <c r="L7" s="81">
        <f>IF(AND(H7="",K7=""),"",IF(OR(AND(H7&lt;&gt;"",ABS(H7)&gt;TolPickup_pct),AND(K7&lt;&gt;"",ABS(K7)&gt;TolTime_pct)),"FAIL","PASS"))</f>
        <v/>
      </c>
      <c r="M7" s="74" t="n"/>
    </row>
    <row r="8" ht="15" customHeight="1" s="41">
      <c r="B8" s="78" t="n">
        <v>3</v>
      </c>
      <c r="C8" s="63" t="n"/>
      <c r="D8" s="63" t="n"/>
      <c r="E8" s="63" t="n"/>
      <c r="F8" s="84" t="n"/>
      <c r="G8" s="84" t="n"/>
      <c r="H8" s="85">
        <f>IFERROR(IF(OR(F8="",G8=""),"",(G8-F8)/F8*100),"")</f>
        <v/>
      </c>
      <c r="I8" s="84" t="n"/>
      <c r="J8" s="84" t="n"/>
      <c r="K8" s="85">
        <f>IFERROR(IF(OR(I8="",J8=""),"",(J8-I8)/I8*100),"")</f>
        <v/>
      </c>
      <c r="L8" s="78">
        <f>IF(AND(H8="",K8=""),"",IF(OR(AND(H8&lt;&gt;"",ABS(H8)&gt;TolPickup_pct),AND(K8&lt;&gt;"",ABS(K8)&gt;TolTime_pct)),"FAIL","PASS"))</f>
        <v/>
      </c>
      <c r="M8" s="63" t="n"/>
    </row>
    <row r="9" ht="15" customHeight="1" s="41">
      <c r="B9" s="81" t="n">
        <v>4</v>
      </c>
      <c r="C9" s="74" t="n"/>
      <c r="D9" s="74" t="n"/>
      <c r="E9" s="74" t="n"/>
      <c r="F9" s="87" t="n"/>
      <c r="G9" s="87" t="n"/>
      <c r="H9" s="89">
        <f>IFERROR(IF(OR(F9="",G9=""),"",(G9-F9)/F9*100),"")</f>
        <v/>
      </c>
      <c r="I9" s="87" t="n"/>
      <c r="J9" s="87" t="n"/>
      <c r="K9" s="89">
        <f>IFERROR(IF(OR(I9="",J9=""),"",(J9-I9)/I9*100),"")</f>
        <v/>
      </c>
      <c r="L9" s="81">
        <f>IF(AND(H9="",K9=""),"",IF(OR(AND(H9&lt;&gt;"",ABS(H9)&gt;TolPickup_pct),AND(K9&lt;&gt;"",ABS(K9)&gt;TolTime_pct)),"FAIL","PASS"))</f>
        <v/>
      </c>
      <c r="M9" s="74" t="n"/>
    </row>
    <row r="10" ht="15" customHeight="1" s="41">
      <c r="B10" s="78" t="n">
        <v>5</v>
      </c>
      <c r="C10" s="63" t="n"/>
      <c r="D10" s="63" t="n"/>
      <c r="E10" s="63" t="n"/>
      <c r="F10" s="84" t="n"/>
      <c r="G10" s="84" t="n"/>
      <c r="H10" s="85">
        <f>IFERROR(IF(OR(F10="",G10=""),"",(G10-F10)/F10*100),"")</f>
        <v/>
      </c>
      <c r="I10" s="84" t="n"/>
      <c r="J10" s="84" t="n"/>
      <c r="K10" s="85">
        <f>IFERROR(IF(OR(I10="",J10=""),"",(J10-I10)/I10*100),"")</f>
        <v/>
      </c>
      <c r="L10" s="78">
        <f>IF(AND(H10="",K10=""),"",IF(OR(AND(H10&lt;&gt;"",ABS(H10)&gt;TolPickup_pct),AND(K10&lt;&gt;"",ABS(K10)&gt;TolTime_pct)),"FAIL","PASS"))</f>
        <v/>
      </c>
      <c r="M10" s="63" t="n"/>
    </row>
    <row r="11" ht="15" customHeight="1" s="41">
      <c r="B11" s="81" t="n">
        <v>6</v>
      </c>
      <c r="C11" s="74" t="n"/>
      <c r="D11" s="74" t="n"/>
      <c r="E11" s="74" t="n"/>
      <c r="F11" s="87" t="n"/>
      <c r="G11" s="87" t="n"/>
      <c r="H11" s="89">
        <f>IFERROR(IF(OR(F11="",G11=""),"",(G11-F11)/F11*100),"")</f>
        <v/>
      </c>
      <c r="I11" s="87" t="n"/>
      <c r="J11" s="87" t="n"/>
      <c r="K11" s="89">
        <f>IFERROR(IF(OR(I11="",J11=""),"",(J11-I11)/I11*100),"")</f>
        <v/>
      </c>
      <c r="L11" s="81">
        <f>IF(AND(H11="",K11=""),"",IF(OR(AND(H11&lt;&gt;"",ABS(H11)&gt;TolPickup_pct),AND(K11&lt;&gt;"",ABS(K11)&gt;TolTime_pct)),"FAIL","PASS"))</f>
        <v/>
      </c>
      <c r="M11" s="74" t="n"/>
    </row>
    <row r="12" ht="15" customHeight="1" s="41">
      <c r="B12" s="78" t="n">
        <v>7</v>
      </c>
      <c r="C12" s="63" t="n"/>
      <c r="D12" s="63" t="n"/>
      <c r="E12" s="63" t="n"/>
      <c r="F12" s="84" t="n"/>
      <c r="G12" s="84" t="n"/>
      <c r="H12" s="85">
        <f>IFERROR(IF(OR(F12="",G12=""),"",(G12-F12)/F12*100),"")</f>
        <v/>
      </c>
      <c r="I12" s="84" t="n"/>
      <c r="J12" s="84" t="n"/>
      <c r="K12" s="85">
        <f>IFERROR(IF(OR(I12="",J12=""),"",(J12-I12)/I12*100),"")</f>
        <v/>
      </c>
      <c r="L12" s="78">
        <f>IF(AND(H12="",K12=""),"",IF(OR(AND(H12&lt;&gt;"",ABS(H12)&gt;TolPickup_pct),AND(K12&lt;&gt;"",ABS(K12)&gt;TolTime_pct)),"FAIL","PASS"))</f>
        <v/>
      </c>
      <c r="M12" s="63" t="n"/>
    </row>
    <row r="13" ht="15" customHeight="1" s="41">
      <c r="B13" s="81" t="n">
        <v>8</v>
      </c>
      <c r="C13" s="74" t="n"/>
      <c r="D13" s="74" t="n"/>
      <c r="E13" s="74" t="n"/>
      <c r="F13" s="87" t="n"/>
      <c r="G13" s="87" t="n"/>
      <c r="H13" s="89">
        <f>IFERROR(IF(OR(F13="",G13=""),"",(G13-F13)/F13*100),"")</f>
        <v/>
      </c>
      <c r="I13" s="87" t="n"/>
      <c r="J13" s="87" t="n"/>
      <c r="K13" s="89">
        <f>IFERROR(IF(OR(I13="",J13=""),"",(J13-I13)/I13*100),"")</f>
        <v/>
      </c>
      <c r="L13" s="81">
        <f>IF(AND(H13="",K13=""),"",IF(OR(AND(H13&lt;&gt;"",ABS(H13)&gt;TolPickup_pct),AND(K13&lt;&gt;"",ABS(K13)&gt;TolTime_pct)),"FAIL","PASS"))</f>
        <v/>
      </c>
      <c r="M13" s="74" t="n"/>
    </row>
    <row r="14" ht="15" customHeight="1" s="41">
      <c r="B14" s="78" t="n">
        <v>9</v>
      </c>
      <c r="C14" s="63" t="n"/>
      <c r="D14" s="63" t="n"/>
      <c r="E14" s="63" t="n"/>
      <c r="F14" s="84" t="n"/>
      <c r="G14" s="84" t="n"/>
      <c r="H14" s="85">
        <f>IFERROR(IF(OR(F14="",G14=""),"",(G14-F14)/F14*100),"")</f>
        <v/>
      </c>
      <c r="I14" s="84" t="n"/>
      <c r="J14" s="84" t="n"/>
      <c r="K14" s="85">
        <f>IFERROR(IF(OR(I14="",J14=""),"",(J14-I14)/I14*100),"")</f>
        <v/>
      </c>
      <c r="L14" s="78">
        <f>IF(AND(H14="",K14=""),"",IF(OR(AND(H14&lt;&gt;"",ABS(H14)&gt;TolPickup_pct),AND(K14&lt;&gt;"",ABS(K14)&gt;TolTime_pct)),"FAIL","PASS"))</f>
        <v/>
      </c>
      <c r="M14" s="63" t="n"/>
    </row>
    <row r="15" ht="15" customHeight="1" s="41">
      <c r="B15" s="81" t="n">
        <v>10</v>
      </c>
      <c r="C15" s="74" t="n"/>
      <c r="D15" s="74" t="n"/>
      <c r="E15" s="74" t="n"/>
      <c r="F15" s="87" t="n"/>
      <c r="G15" s="87" t="n"/>
      <c r="H15" s="89">
        <f>IFERROR(IF(OR(F15="",G15=""),"",(G15-F15)/F15*100),"")</f>
        <v/>
      </c>
      <c r="I15" s="87" t="n"/>
      <c r="J15" s="87" t="n"/>
      <c r="K15" s="89">
        <f>IFERROR(IF(OR(I15="",J15=""),"",(J15-I15)/I15*100),"")</f>
        <v/>
      </c>
      <c r="L15" s="81">
        <f>IF(AND(H15="",K15=""),"",IF(OR(AND(H15&lt;&gt;"",ABS(H15)&gt;TolPickup_pct),AND(K15&lt;&gt;"",ABS(K15)&gt;TolTime_pct)),"FAIL","PASS"))</f>
        <v/>
      </c>
      <c r="M15" s="74" t="n"/>
    </row>
    <row r="16" ht="15" customHeight="1" s="41">
      <c r="B16" s="78" t="n">
        <v>11</v>
      </c>
      <c r="C16" s="63" t="n"/>
      <c r="D16" s="63" t="n"/>
      <c r="E16" s="63" t="n"/>
      <c r="F16" s="84" t="n"/>
      <c r="G16" s="84" t="n"/>
      <c r="H16" s="85">
        <f>IFERROR(IF(OR(F16="",G16=""),"",(G16-F16)/F16*100),"")</f>
        <v/>
      </c>
      <c r="I16" s="84" t="n"/>
      <c r="J16" s="84" t="n"/>
      <c r="K16" s="85">
        <f>IFERROR(IF(OR(I16="",J16=""),"",(J16-I16)/I16*100),"")</f>
        <v/>
      </c>
      <c r="L16" s="78">
        <f>IF(AND(H16="",K16=""),"",IF(OR(AND(H16&lt;&gt;"",ABS(H16)&gt;TolPickup_pct),AND(K16&lt;&gt;"",ABS(K16)&gt;TolTime_pct)),"FAIL","PASS"))</f>
        <v/>
      </c>
      <c r="M16" s="63" t="n"/>
    </row>
    <row r="17" ht="15" customHeight="1" s="41">
      <c r="B17" s="81" t="n">
        <v>12</v>
      </c>
      <c r="C17" s="74" t="n"/>
      <c r="D17" s="74" t="n"/>
      <c r="E17" s="74" t="n"/>
      <c r="F17" s="87" t="n"/>
      <c r="G17" s="87" t="n"/>
      <c r="H17" s="89">
        <f>IFERROR(IF(OR(F17="",G17=""),"",(G17-F17)/F17*100),"")</f>
        <v/>
      </c>
      <c r="I17" s="87" t="n"/>
      <c r="J17" s="87" t="n"/>
      <c r="K17" s="89">
        <f>IFERROR(IF(OR(I17="",J17=""),"",(J17-I17)/I17*100),"")</f>
        <v/>
      </c>
      <c r="L17" s="81">
        <f>IF(AND(H17="",K17=""),"",IF(OR(AND(H17&lt;&gt;"",ABS(H17)&gt;TolPickup_pct),AND(K17&lt;&gt;"",ABS(K17)&gt;TolTime_pct)),"FAIL","PASS"))</f>
        <v/>
      </c>
      <c r="M17" s="74" t="n"/>
    </row>
    <row r="18" ht="15" customHeight="1" s="41">
      <c r="B18" s="78" t="n">
        <v>13</v>
      </c>
      <c r="C18" s="63" t="n"/>
      <c r="D18" s="63" t="n"/>
      <c r="E18" s="63" t="n"/>
      <c r="F18" s="84" t="n"/>
      <c r="G18" s="84" t="n"/>
      <c r="H18" s="85">
        <f>IFERROR(IF(OR(F18="",G18=""),"",(G18-F18)/F18*100),"")</f>
        <v/>
      </c>
      <c r="I18" s="84" t="n"/>
      <c r="J18" s="84" t="n"/>
      <c r="K18" s="85">
        <f>IFERROR(IF(OR(I18="",J18=""),"",(J18-I18)/I18*100),"")</f>
        <v/>
      </c>
      <c r="L18" s="78">
        <f>IF(AND(H18="",K18=""),"",IF(OR(AND(H18&lt;&gt;"",ABS(H18)&gt;TolPickup_pct),AND(K18&lt;&gt;"",ABS(K18)&gt;TolTime_pct)),"FAIL","PASS"))</f>
        <v/>
      </c>
      <c r="M18" s="63" t="n"/>
    </row>
    <row r="19" ht="15" customHeight="1" s="41">
      <c r="B19" s="81" t="n">
        <v>14</v>
      </c>
      <c r="C19" s="74" t="n"/>
      <c r="D19" s="74" t="n"/>
      <c r="E19" s="74" t="n"/>
      <c r="F19" s="87" t="n"/>
      <c r="G19" s="87" t="n"/>
      <c r="H19" s="89">
        <f>IFERROR(IF(OR(F19="",G19=""),"",(G19-F19)/F19*100),"")</f>
        <v/>
      </c>
      <c r="I19" s="87" t="n"/>
      <c r="J19" s="87" t="n"/>
      <c r="K19" s="89">
        <f>IFERROR(IF(OR(I19="",J19=""),"",(J19-I19)/I19*100),"")</f>
        <v/>
      </c>
      <c r="L19" s="81">
        <f>IF(AND(H19="",K19=""),"",IF(OR(AND(H19&lt;&gt;"",ABS(H19)&gt;TolPickup_pct),AND(K19&lt;&gt;"",ABS(K19)&gt;TolTime_pct)),"FAIL","PASS"))</f>
        <v/>
      </c>
      <c r="M19" s="74" t="n"/>
    </row>
    <row r="20" ht="15" customHeight="1" s="41">
      <c r="B20" s="78" t="n">
        <v>15</v>
      </c>
      <c r="C20" s="63" t="n"/>
      <c r="D20" s="63" t="n"/>
      <c r="E20" s="63" t="n"/>
      <c r="F20" s="84" t="n"/>
      <c r="G20" s="84" t="n"/>
      <c r="H20" s="85">
        <f>IFERROR(IF(OR(F20="",G20=""),"",(G20-F20)/F20*100),"")</f>
        <v/>
      </c>
      <c r="I20" s="84" t="n"/>
      <c r="J20" s="84" t="n"/>
      <c r="K20" s="85">
        <f>IFERROR(IF(OR(I20="",J20=""),"",(J20-I20)/I20*100),"")</f>
        <v/>
      </c>
      <c r="L20" s="78">
        <f>IF(AND(H20="",K20=""),"",IF(OR(AND(H20&lt;&gt;"",ABS(H20)&gt;TolPickup_pct),AND(K20&lt;&gt;"",ABS(K20)&gt;TolTime_pct)),"FAIL","PASS"))</f>
        <v/>
      </c>
      <c r="M20" s="63" t="n"/>
    </row>
    <row r="21" ht="15" customHeight="1" s="41">
      <c r="B21" s="81" t="n">
        <v>16</v>
      </c>
      <c r="C21" s="74" t="n"/>
      <c r="D21" s="74" t="n"/>
      <c r="E21" s="74" t="n"/>
      <c r="F21" s="87" t="n"/>
      <c r="G21" s="87" t="n"/>
      <c r="H21" s="89">
        <f>IFERROR(IF(OR(F21="",G21=""),"",(G21-F21)/F21*100),"")</f>
        <v/>
      </c>
      <c r="I21" s="87" t="n"/>
      <c r="J21" s="87" t="n"/>
      <c r="K21" s="89">
        <f>IFERROR(IF(OR(I21="",J21=""),"",(J21-I21)/I21*100),"")</f>
        <v/>
      </c>
      <c r="L21" s="81">
        <f>IF(AND(H21="",K21=""),"",IF(OR(AND(H21&lt;&gt;"",ABS(H21)&gt;TolPickup_pct),AND(K21&lt;&gt;"",ABS(K21)&gt;TolTime_pct)),"FAIL","PASS"))</f>
        <v/>
      </c>
      <c r="M21" s="74" t="n"/>
    </row>
  </sheetData>
  <mergeCells count="1">
    <mergeCell ref="B2:M2"/>
  </mergeCells>
  <conditionalFormatting sqref="L6:L2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B2:F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6" customWidth="1" style="40" min="2" max="2"/>
    <col width="65" customWidth="1" style="40" min="3" max="3"/>
    <col width="14" customWidth="1" style="40" min="4" max="4"/>
    <col width="30" customWidth="1" style="40" min="5" max="5"/>
    <col width="14" customWidth="1" style="40" min="6" max="6"/>
  </cols>
  <sheetData>
    <row r="2" ht="22.05" customHeight="1" s="41">
      <c r="B2" s="42" t="inlineStr">
        <is>
          <t>Post-Test Checklist</t>
        </is>
      </c>
    </row>
    <row r="4" ht="21.75" customHeight="1" s="41">
      <c r="B4" s="44" t="inlineStr">
        <is>
          <t>8.1 Settings re-comparison (as-left vs. master)</t>
        </is>
      </c>
    </row>
    <row r="5" ht="19.5" customHeight="1" s="41">
      <c r="B5" s="64" t="inlineStr">
        <is>
          <t>#</t>
        </is>
      </c>
      <c r="C5" s="64" t="inlineStr">
        <is>
          <t>Check</t>
        </is>
      </c>
      <c r="D5" s="64" t="inlineStr">
        <is>
          <t>Status</t>
        </is>
      </c>
      <c r="E5" s="64" t="inlineStr">
        <is>
          <t>Notes / Value</t>
        </is>
      </c>
      <c r="F5" s="64" t="inlineStr">
        <is>
          <t>Initials</t>
        </is>
      </c>
    </row>
    <row r="6" ht="19.5" customHeight="1" s="41">
      <c r="B6" s="78" t="n">
        <v>1</v>
      </c>
      <c r="C6" s="79" t="inlineStr">
        <is>
          <t>Read settings; saved with prefix "asleft_&lt;Asset&gt;_&lt;YYYYMMDD&gt;".</t>
        </is>
      </c>
      <c r="D6" s="80" t="n"/>
      <c r="E6" s="63" t="n"/>
      <c r="F6" s="80" t="n"/>
    </row>
    <row r="7" ht="19.5" customHeight="1" s="41">
      <c r="B7" s="81" t="n">
        <v>2</v>
      </c>
      <c r="C7" s="82" t="inlineStr">
        <is>
          <t>Compared as-left vs. master settings (AcSELerator).</t>
        </is>
      </c>
      <c r="D7" s="83" t="n"/>
      <c r="E7" s="74" t="n"/>
      <c r="F7" s="83" t="n"/>
    </row>
    <row r="8" ht="19.5" customHeight="1" s="41">
      <c r="B8" s="78" t="n">
        <v>3</v>
      </c>
      <c r="C8" s="79" t="inlineStr">
        <is>
          <t>Zero unauthorised differences remain.</t>
        </is>
      </c>
      <c r="D8" s="80" t="n"/>
      <c r="E8" s="63" t="n"/>
      <c r="F8" s="80" t="n"/>
    </row>
    <row r="9" ht="19.5" customHeight="1" s="41">
      <c r="B9" s="81" t="n">
        <v>4</v>
      </c>
      <c r="C9" s="82" t="inlineStr">
        <is>
          <t>Any temporarily disabled elements have been restored.</t>
        </is>
      </c>
      <c r="D9" s="83" t="n"/>
      <c r="E9" s="74" t="n"/>
      <c r="F9" s="83" t="n"/>
    </row>
    <row r="11" ht="21.75" customHeight="1" s="41">
      <c r="B11" s="44" t="inlineStr">
        <is>
          <t>8.2 Clear events / reset targets</t>
        </is>
      </c>
    </row>
    <row r="12" ht="19.5" customHeight="1" s="41">
      <c r="B12" s="64" t="inlineStr">
        <is>
          <t>#</t>
        </is>
      </c>
      <c r="C12" s="64" t="inlineStr">
        <is>
          <t>Check</t>
        </is>
      </c>
      <c r="D12" s="64" t="inlineStr">
        <is>
          <t>Status</t>
        </is>
      </c>
      <c r="E12" s="64" t="inlineStr">
        <is>
          <t>Notes / Value</t>
        </is>
      </c>
      <c r="F12" s="64" t="inlineStr">
        <is>
          <t>Initials</t>
        </is>
      </c>
    </row>
    <row r="13" ht="19.5" customHeight="1" s="41">
      <c r="B13" s="78" t="n">
        <v>5</v>
      </c>
      <c r="C13" s="79" t="inlineStr">
        <is>
          <t>Cleared event history (HIS C / EVE C).</t>
        </is>
      </c>
      <c r="D13" s="80" t="n"/>
      <c r="E13" s="63" t="n"/>
      <c r="F13" s="80" t="n"/>
    </row>
    <row r="14" ht="19.5" customHeight="1" s="41">
      <c r="B14" s="81" t="n">
        <v>6</v>
      </c>
      <c r="C14" s="82" t="inlineStr">
        <is>
          <t>Cleared SOE buffer (SER C).</t>
        </is>
      </c>
      <c r="D14" s="83" t="n"/>
      <c r="E14" s="74" t="n"/>
      <c r="F14" s="83" t="n"/>
    </row>
    <row r="15" ht="19.5" customHeight="1" s="41">
      <c r="B15" s="78" t="n">
        <v>7</v>
      </c>
      <c r="C15" s="79" t="inlineStr">
        <is>
          <t>Reset targets (TAR R) and front-panel LEDs.</t>
        </is>
      </c>
      <c r="D15" s="80" t="n"/>
      <c r="E15" s="63" t="n"/>
      <c r="F15" s="80" t="n"/>
    </row>
    <row r="16" ht="19.5" customHeight="1" s="41">
      <c r="B16" s="81" t="n">
        <v>8</v>
      </c>
      <c r="C16" s="82" t="inlineStr">
        <is>
          <t>Verified buffers are empty after clearing.</t>
        </is>
      </c>
      <c r="D16" s="83" t="n"/>
      <c r="E16" s="74" t="n"/>
      <c r="F16" s="83" t="n"/>
    </row>
    <row r="18" ht="21.75" customHeight="1" s="41">
      <c r="B18" s="44" t="inlineStr">
        <is>
          <t>8.3 Time synchronisation</t>
        </is>
      </c>
    </row>
    <row r="19" ht="19.5" customHeight="1" s="41">
      <c r="B19" s="64" t="inlineStr">
        <is>
          <t>#</t>
        </is>
      </c>
      <c r="C19" s="64" t="inlineStr">
        <is>
          <t>Check</t>
        </is>
      </c>
      <c r="D19" s="64" t="inlineStr">
        <is>
          <t>Status</t>
        </is>
      </c>
      <c r="E19" s="64" t="inlineStr">
        <is>
          <t>Notes / Value</t>
        </is>
      </c>
      <c r="F19" s="64" t="inlineStr">
        <is>
          <t>Initials</t>
        </is>
      </c>
    </row>
    <row r="20" ht="19.5" customHeight="1" s="41">
      <c r="B20" s="78" t="n">
        <v>9</v>
      </c>
      <c r="C20" s="79" t="inlineStr">
        <is>
          <t>Re-read relay date/time.</t>
        </is>
      </c>
      <c r="D20" s="80" t="n"/>
      <c r="E20" s="63" t="n"/>
      <c r="F20" s="80" t="n"/>
    </row>
    <row r="21" ht="19.5" customHeight="1" s="41">
      <c r="B21" s="81" t="n">
        <v>10</v>
      </c>
      <c r="C21" s="82" t="inlineStr">
        <is>
          <t>If drift outside tolerance, set relay time to reference.</t>
        </is>
      </c>
      <c r="D21" s="83" t="n"/>
      <c r="E21" s="74" t="n"/>
      <c r="F21" s="83" t="n"/>
    </row>
    <row r="22" ht="19.5" customHeight="1" s="41">
      <c r="B22" s="78" t="n">
        <v>11</v>
      </c>
      <c r="C22" s="79" t="inlineStr">
        <is>
          <t>IRIG-B / NTP / SNTP synchronisation healthy (status word).</t>
        </is>
      </c>
      <c r="D22" s="80" t="n"/>
      <c r="E22" s="63" t="n"/>
      <c r="F22" s="80" t="n"/>
    </row>
    <row r="23" ht="19.5" customHeight="1" s="41">
      <c r="B23" s="81" t="n">
        <v>12</v>
      </c>
      <c r="C23" s="82" t="inlineStr">
        <is>
          <t>Final drift within tolerance.</t>
        </is>
      </c>
      <c r="D23" s="83" t="n"/>
      <c r="E23" s="74" t="n"/>
      <c r="F23" s="83" t="n"/>
    </row>
    <row r="25" ht="21.75" customHeight="1" s="41">
      <c r="B25" s="44" t="inlineStr">
        <is>
          <t>8.4 Plant restoration</t>
        </is>
      </c>
    </row>
    <row r="26" ht="19.5" customHeight="1" s="41">
      <c r="B26" s="64" t="inlineStr">
        <is>
          <t>#</t>
        </is>
      </c>
      <c r="C26" s="64" t="inlineStr">
        <is>
          <t>Check</t>
        </is>
      </c>
      <c r="D26" s="64" t="inlineStr">
        <is>
          <t>Status</t>
        </is>
      </c>
      <c r="E26" s="64" t="inlineStr">
        <is>
          <t>Notes / Value</t>
        </is>
      </c>
      <c r="F26" s="64" t="inlineStr">
        <is>
          <t>Initials</t>
        </is>
      </c>
    </row>
    <row r="27" ht="19.5" customHeight="1" s="41">
      <c r="B27" s="78" t="n">
        <v>13</v>
      </c>
      <c r="C27" s="79" t="inlineStr">
        <is>
          <t>Disconnected all test leads from relay terminals.</t>
        </is>
      </c>
      <c r="D27" s="80" t="n"/>
      <c r="E27" s="63" t="n"/>
      <c r="F27" s="80" t="n"/>
    </row>
    <row r="28" ht="19.5" customHeight="1" s="41">
      <c r="B28" s="81" t="n">
        <v>14</v>
      </c>
      <c r="C28" s="82" t="inlineStr">
        <is>
          <t>Replaced all test block links / reinstated VT MCBs.</t>
        </is>
      </c>
      <c r="D28" s="83" t="n"/>
      <c r="E28" s="74" t="n"/>
      <c r="F28" s="83" t="n"/>
    </row>
    <row r="29" ht="19.5" customHeight="1" s="41">
      <c r="B29" s="78" t="n">
        <v>15</v>
      </c>
      <c r="C29" s="79" t="inlineStr">
        <is>
          <t>Removed CT shorting links; verified continuity to source.</t>
        </is>
      </c>
      <c r="D29" s="80" t="n"/>
      <c r="E29" s="63" t="n"/>
      <c r="F29" s="80" t="n"/>
    </row>
    <row r="30" ht="19.5" customHeight="1" s="41">
      <c r="B30" s="81" t="n">
        <v>16</v>
      </c>
      <c r="C30" s="82" t="inlineStr">
        <is>
          <t>Restored trip and lockout output links / re-enabled trips.</t>
        </is>
      </c>
      <c r="D30" s="83" t="n"/>
      <c r="E30" s="74" t="n"/>
      <c r="F30" s="83" t="n"/>
    </row>
    <row r="31" ht="19.5" customHeight="1" s="41">
      <c r="B31" s="78" t="n">
        <v>17</v>
      </c>
      <c r="C31" s="79" t="inlineStr">
        <is>
          <t>No targets / alarms remain active on relay or panel.</t>
        </is>
      </c>
      <c r="D31" s="80" t="n"/>
      <c r="E31" s="63" t="n"/>
      <c r="F31" s="80" t="n"/>
    </row>
    <row r="32" ht="19.5" customHeight="1" s="41">
      <c r="B32" s="81" t="n">
        <v>18</v>
      </c>
      <c r="C32" s="82" t="inlineStr">
        <is>
          <t>SCADA / DCS analogue values match relay metering live.</t>
        </is>
      </c>
      <c r="D32" s="83" t="n"/>
      <c r="E32" s="74" t="n"/>
      <c r="F32" s="83" t="n"/>
    </row>
    <row r="33" ht="19.5" customHeight="1" s="41">
      <c r="B33" s="78" t="n">
        <v>19</v>
      </c>
      <c r="C33" s="79" t="inlineStr">
        <is>
          <t>Re-energised VTs; sensible secondary voltages on relay.</t>
        </is>
      </c>
      <c r="D33" s="80" t="n"/>
      <c r="E33" s="63" t="n"/>
      <c r="F33" s="80" t="n"/>
    </row>
    <row r="34" ht="19.5" customHeight="1" s="41">
      <c r="B34" s="81" t="n">
        <v>20</v>
      </c>
      <c r="C34" s="82" t="inlineStr">
        <is>
          <t>Operations / control room notified work complete.</t>
        </is>
      </c>
      <c r="D34" s="83" t="n"/>
      <c r="E34" s="74" t="n"/>
      <c r="F34" s="83" t="n"/>
    </row>
    <row r="35" ht="19.5" customHeight="1" s="41">
      <c r="B35" s="78" t="n">
        <v>21</v>
      </c>
      <c r="C35" s="79" t="inlineStr">
        <is>
          <t>Permit returned and isolations removed (LOTO removed).</t>
        </is>
      </c>
      <c r="D35" s="80" t="n"/>
      <c r="E35" s="63" t="n"/>
      <c r="F35" s="80" t="n"/>
    </row>
    <row r="37" ht="21.75" customHeight="1" s="41">
      <c r="B37" s="44" t="inlineStr">
        <is>
          <t>8.5 Final self-test</t>
        </is>
      </c>
    </row>
    <row r="38" ht="19.5" customHeight="1" s="41">
      <c r="B38" s="64" t="inlineStr">
        <is>
          <t>#</t>
        </is>
      </c>
      <c r="C38" s="64" t="inlineStr">
        <is>
          <t>Check</t>
        </is>
      </c>
      <c r="D38" s="64" t="inlineStr">
        <is>
          <t>Status</t>
        </is>
      </c>
      <c r="E38" s="64" t="inlineStr">
        <is>
          <t>Notes / Value</t>
        </is>
      </c>
      <c r="F38" s="64" t="inlineStr">
        <is>
          <t>Initials</t>
        </is>
      </c>
    </row>
    <row r="39" ht="19.5" customHeight="1" s="41">
      <c r="B39" s="78" t="n">
        <v>22</v>
      </c>
      <c r="C39" s="79" t="inlineStr">
        <is>
          <t>STATUS reports OK with no warnings or failures.</t>
        </is>
      </c>
      <c r="D39" s="80" t="n"/>
      <c r="E39" s="63" t="n"/>
      <c r="F39" s="80" t="n"/>
    </row>
    <row r="40" ht="19.5" customHeight="1" s="41">
      <c r="B40" s="81" t="n">
        <v>23</v>
      </c>
      <c r="C40" s="82" t="inlineStr">
        <is>
          <t>Relay in service / ENABLED state per plant requirements.</t>
        </is>
      </c>
      <c r="D40" s="83" t="n"/>
      <c r="E40" s="74" t="n"/>
      <c r="F40" s="83" t="n"/>
    </row>
    <row r="41" ht="19.5" customHeight="1" s="41">
      <c r="B41" s="78" t="n">
        <v>24</v>
      </c>
      <c r="C41" s="79" t="inlineStr">
        <is>
          <t>Final screenshots captured (STATUS / METER / TARGET).</t>
        </is>
      </c>
      <c r="D41" s="80" t="n"/>
      <c r="E41" s="63" t="n"/>
      <c r="F41" s="80" t="n"/>
    </row>
  </sheetData>
  <mergeCells count="6">
    <mergeCell ref="B4:F4"/>
    <mergeCell ref="B2:F2"/>
    <mergeCell ref="B11:F11"/>
    <mergeCell ref="B25:F25"/>
    <mergeCell ref="B37:F37"/>
    <mergeCell ref="B18:F18"/>
  </mergeCells>
  <conditionalFormatting sqref="D5:D200">
    <cfRule type="cellIs" rank="0" priority="2" equalAverage="0" operator="equal" aboveAverage="0" dxfId="0" text="" percent="0" bottom="0">
      <formula>"OK"</formula>
    </cfRule>
    <cfRule type="cellIs" rank="0" priority="3" equalAverage="0" operator="equal" aboveAverage="0" dxfId="1" text="" percent="0" bottom="0">
      <formula>"FAIL"</formula>
    </cfRule>
  </conditionalFormatting>
  <dataValidations count="1">
    <dataValidation sqref="D6:D9 D13:D16 D20:D23 D27:D35 D39:D41" showDropDown="0" showInputMessage="0" showErrorMessage="0" allowBlank="1" type="list" errorStyle="stop" operator="between">
      <formula1>"OK,N/A,FAIL"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B2:E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32" customWidth="1" style="40" min="2" max="2"/>
    <col width="36" customWidth="1" style="40" min="3" max="3"/>
    <col width="30" customWidth="1" style="40" min="4" max="4"/>
    <col width="14" customWidth="1" style="40" min="5" max="5"/>
  </cols>
  <sheetData>
    <row r="2" ht="22.05" customHeight="1" s="41">
      <c r="B2" s="42" t="inlineStr">
        <is>
          <t>Findings Log &amp; Sign-Off</t>
        </is>
      </c>
    </row>
    <row r="4" ht="21.75" customHeight="1" s="41">
      <c r="B4" s="44" t="inlineStr">
        <is>
          <t>Findings, Defects &amp; Recommendations (detailed log)</t>
        </is>
      </c>
    </row>
    <row r="5" ht="21.75" customHeight="1" s="41">
      <c r="B5" s="64" t="inlineStr">
        <is>
          <t>#</t>
        </is>
      </c>
      <c r="C5" s="64" t="inlineStr">
        <is>
          <t>Finding / Defect</t>
        </is>
      </c>
      <c r="D5" s="64" t="inlineStr">
        <is>
          <t>Severity</t>
        </is>
      </c>
      <c r="E5" s="64" t="inlineStr">
        <is>
          <t>Closed?</t>
        </is>
      </c>
    </row>
    <row r="6" ht="15" customHeight="1" s="41">
      <c r="B6" s="78" t="n">
        <v>1</v>
      </c>
      <c r="C6" s="63" t="n"/>
      <c r="D6" s="80" t="n"/>
      <c r="E6" s="80" t="n"/>
    </row>
    <row r="7" ht="15" customHeight="1" s="41">
      <c r="B7" s="81" t="n">
        <v>2</v>
      </c>
      <c r="C7" s="74" t="n"/>
      <c r="D7" s="83" t="n"/>
      <c r="E7" s="83" t="n"/>
    </row>
    <row r="8" ht="15" customHeight="1" s="41">
      <c r="B8" s="78" t="n">
        <v>3</v>
      </c>
      <c r="C8" s="63" t="n"/>
      <c r="D8" s="80" t="n"/>
      <c r="E8" s="80" t="n"/>
    </row>
    <row r="9" ht="15" customHeight="1" s="41">
      <c r="B9" s="81" t="n">
        <v>4</v>
      </c>
      <c r="C9" s="74" t="n"/>
      <c r="D9" s="83" t="n"/>
      <c r="E9" s="83" t="n"/>
    </row>
    <row r="10" ht="15" customHeight="1" s="41">
      <c r="B10" s="78" t="n">
        <v>5</v>
      </c>
      <c r="C10" s="63" t="n"/>
      <c r="D10" s="80" t="n"/>
      <c r="E10" s="80" t="n"/>
    </row>
    <row r="11" ht="15" customHeight="1" s="41">
      <c r="B11" s="81" t="n">
        <v>6</v>
      </c>
      <c r="C11" s="74" t="n"/>
      <c r="D11" s="83" t="n"/>
      <c r="E11" s="83" t="n"/>
    </row>
    <row r="12" ht="15" customHeight="1" s="41">
      <c r="B12" s="78" t="n">
        <v>7</v>
      </c>
      <c r="C12" s="63" t="n"/>
      <c r="D12" s="80" t="n"/>
      <c r="E12" s="80" t="n"/>
    </row>
    <row r="13" ht="15" customHeight="1" s="41">
      <c r="B13" s="81" t="n">
        <v>8</v>
      </c>
      <c r="C13" s="74" t="n"/>
      <c r="D13" s="83" t="n"/>
      <c r="E13" s="83" t="n"/>
    </row>
    <row r="16" ht="21.75" customHeight="1" s="41">
      <c r="B16" s="44" t="inlineStr">
        <is>
          <t>Sign-Off</t>
        </is>
      </c>
    </row>
    <row r="17" ht="21.75" customHeight="1" s="41">
      <c r="B17" s="45" t="inlineStr">
        <is>
          <t>Tester name</t>
        </is>
      </c>
      <c r="C17" s="63" t="n"/>
      <c r="D17" s="50" t="n"/>
      <c r="E17" s="51" t="n"/>
    </row>
    <row r="18" ht="21.75" customHeight="1" s="41">
      <c r="B18" s="45" t="inlineStr">
        <is>
          <t>Tester signature</t>
        </is>
      </c>
      <c r="C18" s="63" t="n"/>
      <c r="D18" s="50" t="n"/>
      <c r="E18" s="51" t="n"/>
    </row>
    <row r="19" ht="21.75" customHeight="1" s="41">
      <c r="B19" s="45" t="inlineStr">
        <is>
          <t>Date</t>
        </is>
      </c>
      <c r="C19" s="49" t="n"/>
      <c r="D19" s="50" t="n"/>
      <c r="E19" s="51" t="n"/>
    </row>
    <row r="20" ht="21.75" customHeight="1" s="41">
      <c r="B20" s="45" t="inlineStr">
        <is>
          <t>Witness name</t>
        </is>
      </c>
      <c r="C20" s="63" t="n"/>
      <c r="D20" s="50" t="n"/>
      <c r="E20" s="51" t="n"/>
    </row>
    <row r="21" ht="21.75" customHeight="1" s="41">
      <c r="B21" s="45" t="inlineStr">
        <is>
          <t>Witness signature</t>
        </is>
      </c>
      <c r="C21" s="63" t="n"/>
      <c r="D21" s="50" t="n"/>
      <c r="E21" s="51" t="n"/>
    </row>
    <row r="22" ht="21.75" customHeight="1" s="41">
      <c r="B22" s="45" t="inlineStr">
        <is>
          <t>Date</t>
        </is>
      </c>
      <c r="C22" s="49" t="n"/>
      <c r="D22" s="50" t="n"/>
      <c r="E22" s="51" t="n"/>
    </row>
    <row r="23" ht="21.75" customHeight="1" s="41">
      <c r="B23" s="45" t="inlineStr">
        <is>
          <t>Authorising engineer (acceptance)</t>
        </is>
      </c>
      <c r="C23" s="63" t="n"/>
      <c r="D23" s="50" t="n"/>
      <c r="E23" s="51" t="n"/>
    </row>
    <row r="24" ht="21.75" customHeight="1" s="41">
      <c r="B24" s="45" t="inlineStr">
        <is>
          <t>Signature</t>
        </is>
      </c>
      <c r="C24" s="63" t="n"/>
      <c r="D24" s="50" t="n"/>
      <c r="E24" s="51" t="n"/>
    </row>
    <row r="25" ht="21.75" customHeight="1" s="41">
      <c r="B25" s="45" t="inlineStr">
        <is>
          <t>Date</t>
        </is>
      </c>
      <c r="C25" s="49" t="n"/>
      <c r="D25" s="50" t="n"/>
      <c r="E25" s="51" t="n"/>
    </row>
    <row r="26" ht="21.75" customHeight="1" s="41">
      <c r="B26" s="45" t="inlineStr">
        <is>
          <t>Overall test result (from Cover sheet)</t>
        </is>
      </c>
      <c r="C26" s="93">
        <f>'1. Cover'!C5</f>
        <v/>
      </c>
      <c r="D26" s="50" t="n"/>
      <c r="E26" s="51" t="n"/>
    </row>
  </sheetData>
  <mergeCells count="13">
    <mergeCell ref="C19:E19"/>
    <mergeCell ref="B4:E4"/>
    <mergeCell ref="C23:E23"/>
    <mergeCell ref="C22:E22"/>
    <mergeCell ref="B16:E16"/>
    <mergeCell ref="C18:E18"/>
    <mergeCell ref="C17:E17"/>
    <mergeCell ref="C26:E26"/>
    <mergeCell ref="B2:E2"/>
    <mergeCell ref="C21:E21"/>
    <mergeCell ref="C20:E20"/>
    <mergeCell ref="C25:E25"/>
    <mergeCell ref="C24:E24"/>
  </mergeCells>
  <conditionalFormatting sqref="C17:C30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dataValidations count="2">
    <dataValidation sqref="D6:D13" showDropDown="0" showInputMessage="0" showErrorMessage="0" allowBlank="1" type="list" errorStyle="stop" operator="between">
      <formula1>"Low,Medium,High,Critical"</formula1>
      <formula2>0</formula2>
    </dataValidation>
    <dataValidation sqref="E6:E13" showDropDown="0" showInputMessage="0" showErrorMessage="0" allowBlank="1" type="list" errorStyle="stop" operator="between">
      <formula1>"Open,Closed"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2026-05-14T21:21:38Z</dcterms:created>
  <dcterms:modified xmlns:dcterms="http://purl.org/dc/terms/" xmlns:xsi="http://www.w3.org/2001/XMLSchema-instance" xsi:type="dcterms:W3CDTF">2026-05-14T21:23:05Z</dcterms:modified>
  <cp:revision>0</cp:revision>
</cp:coreProperties>
</file>