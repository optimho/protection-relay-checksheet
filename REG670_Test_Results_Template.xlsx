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Cover" sheetId="1" state="visible" r:id="rId1"/>
    <sheet xmlns:r="http://schemas.openxmlformats.org/officeDocument/2006/relationships" name="2. Equip &amp; Refs" sheetId="2" state="visible" r:id="rId2"/>
    <sheet xmlns:r="http://schemas.openxmlformats.org/officeDocument/2006/relationships" name="3. Pre-Test" sheetId="3" state="visible" r:id="rId3"/>
    <sheet xmlns:r="http://schemas.openxmlformats.org/officeDocument/2006/relationships" name="4. Analogue Inputs" sheetId="4" state="visible" r:id="rId4"/>
    <sheet xmlns:r="http://schemas.openxmlformats.org/officeDocument/2006/relationships" name="5. Binary IO" sheetId="5" state="visible" r:id="rId5"/>
    <sheet xmlns:r="http://schemas.openxmlformats.org/officeDocument/2006/relationships" name="6. Element Tracker" sheetId="6" state="visible" r:id="rId6"/>
    <sheet xmlns:r="http://schemas.openxmlformats.org/officeDocument/2006/relationships" name="7. Element Results" sheetId="7" state="visible" r:id="rId7"/>
    <sheet xmlns:r="http://schemas.openxmlformats.org/officeDocument/2006/relationships" name="8. Post-Test" sheetId="8" state="visible" r:id="rId8"/>
    <sheet xmlns:r="http://schemas.openxmlformats.org/officeDocument/2006/relationships" name="9. Files &amp; Sign-Off" sheetId="9" state="visible" r:id="rId9"/>
  </sheets>
  <definedNames>
    <definedName name="Ratio_VTmain">'1. Cover'!$E$46</definedName>
    <definedName name="Ratio_VTmain_pri">'1. Cover'!$C$46</definedName>
    <definedName name="Ratio_VTmain_sec">'1. Cover'!$D$46</definedName>
    <definedName name="Ratio_VTneut">'1. Cover'!$E$47</definedName>
    <definedName name="Ratio_VTneut_pri">'1. Cover'!$C$47</definedName>
    <definedName name="Ratio_VTneut_sec">'1. Cover'!$D$47</definedName>
    <definedName name="Ratio_CTterm">'1. Cover'!$E$48</definedName>
    <definedName name="Ratio_CTterm_pri">'1. Cover'!$C$48</definedName>
    <definedName name="Ratio_CTterm_sec">'1. Cover'!$D$48</definedName>
    <definedName name="Ratio_CTneut">'1. Cover'!$E$49</definedName>
    <definedName name="Ratio_CTneut_pri">'1. Cover'!$C$49</definedName>
    <definedName name="Ratio_CTneut_sec">'1. Cover'!$D$49</definedName>
    <definedName name="TolV_pct">'1. Cover'!$C$52</definedName>
    <definedName name="TolI_pct">'1. Cover'!$C$53</definedName>
    <definedName name="TolAngle_deg">'1. Cover'!$C$54</definedName>
    <definedName name="TolPickup_pct">'1. Cover'!$C$55</definedName>
    <definedName name="TolTime_pct">'1. Cover'!$C$56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8"/>
    </font>
    <font>
      <name val="Calibri"/>
      <i val="1"/>
      <color rgb="001F4E79"/>
      <sz val="11"/>
    </font>
    <font>
      <name val="Calibri"/>
      <b val="1"/>
      <color rgb="00FFFFFF"/>
      <sz val="12"/>
    </font>
    <font>
      <name val="Calibri"/>
      <b val="1"/>
      <color rgb="00000000"/>
      <sz val="10"/>
    </font>
    <font>
      <name val="Calibri"/>
      <color rgb="000000FF"/>
      <sz val="10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i val="1"/>
      <color rgb="00595959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7" fillId="0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B2:F6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22" customWidth="1" min="3" max="3"/>
    <col width="16" customWidth="1" min="4" max="4"/>
    <col width="14" customWidth="1" min="5" max="5"/>
    <col width="14" customWidth="1" min="6" max="6"/>
    <col width="10" customWidth="1" min="7" max="7"/>
  </cols>
  <sheetData>
    <row r="2">
      <c r="D2" s="1" t="inlineStr">
        <is>
          <t>PROTECTION RELAY TEST RESULTS</t>
        </is>
      </c>
    </row>
    <row r="3">
      <c r="D3" s="2" t="inlineStr">
        <is>
          <t>ABB Relion REG670 2.0 (ANSI) Generator Protection IED — Live Results Template</t>
        </is>
      </c>
    </row>
    <row r="4">
      <c r="B4" s="3" t="inlineStr">
        <is>
          <t>Test Summary &amp; Findings (filled in at end of visit)</t>
        </is>
      </c>
    </row>
    <row r="5">
      <c r="B5" s="4" t="inlineStr">
        <is>
          <t>Overall outcome</t>
        </is>
      </c>
      <c r="C5" s="5" t="n"/>
    </row>
    <row r="6">
      <c r="B6" s="4" t="inlineStr">
        <is>
          <t>Test completion date</t>
        </is>
      </c>
      <c r="C6" s="5" t="n"/>
    </row>
    <row r="7">
      <c r="B7" s="4" t="inlineStr">
        <is>
          <t>Summary &amp; Findings</t>
        </is>
      </c>
      <c r="C7" s="5" t="n"/>
    </row>
    <row r="8">
      <c r="B8" s="4" t="inlineStr">
        <is>
          <t>Self-supervision status on departure</t>
        </is>
      </c>
      <c r="C8" s="5" t="n"/>
    </row>
    <row r="14">
      <c r="B14" s="3" t="inlineStr">
        <is>
          <t>Test Information</t>
        </is>
      </c>
    </row>
    <row r="15">
      <c r="B15" s="4" t="inlineStr">
        <is>
          <t>Site / Power station</t>
        </is>
      </c>
      <c r="C15" s="5" t="n"/>
    </row>
    <row r="16">
      <c r="B16" s="4" t="inlineStr">
        <is>
          <t>Asset identifier (generator / unit)</t>
        </is>
      </c>
      <c r="C16" s="5" t="n"/>
    </row>
    <row r="17">
      <c r="B17" s="4" t="inlineStr">
        <is>
          <t>Work order / Job number</t>
        </is>
      </c>
      <c r="C17" s="5" t="n"/>
    </row>
    <row r="18">
      <c r="B18" s="4" t="inlineStr">
        <is>
          <t>Reason for test</t>
        </is>
      </c>
      <c r="C18" s="5" t="inlineStr">
        <is>
          <t>Routine</t>
        </is>
      </c>
    </row>
    <row r="19">
      <c r="B19" s="4" t="inlineStr">
        <is>
          <t>Test date (start)</t>
        </is>
      </c>
      <c r="C19" s="5" t="n"/>
    </row>
    <row r="20">
      <c r="B20" s="4" t="inlineStr">
        <is>
          <t>Test date (finish)</t>
        </is>
      </c>
      <c r="C20" s="5" t="n"/>
    </row>
    <row r="22">
      <c r="B22" s="3" t="inlineStr">
        <is>
          <t>Personnel</t>
        </is>
      </c>
    </row>
    <row r="23">
      <c r="B23" s="4" t="inlineStr">
        <is>
          <t>Tester (name)</t>
        </is>
      </c>
      <c r="C23" s="5" t="n"/>
    </row>
    <row r="24">
      <c r="B24" s="4" t="inlineStr">
        <is>
          <t>Tester signature</t>
        </is>
      </c>
      <c r="C24" s="5" t="n"/>
    </row>
    <row r="25">
      <c r="B25" s="4" t="inlineStr">
        <is>
          <t>Witness / 2nd person</t>
        </is>
      </c>
      <c r="C25" s="5" t="n"/>
    </row>
    <row r="26">
      <c r="B26" s="4" t="inlineStr">
        <is>
          <t>Witness signature</t>
        </is>
      </c>
      <c r="C26" s="5" t="n"/>
    </row>
    <row r="27">
      <c r="B27" s="4" t="inlineStr">
        <is>
          <t>Authorising engineer</t>
        </is>
      </c>
      <c r="C27" s="5" t="n"/>
    </row>
    <row r="29">
      <c r="B29" s="3" t="inlineStr">
        <is>
          <t>IED Under Test</t>
        </is>
      </c>
    </row>
    <row r="30">
      <c r="B30" s="4" t="inlineStr">
        <is>
          <t>IED model</t>
        </is>
      </c>
      <c r="C30" s="5" t="inlineStr">
        <is>
          <t>ABB Relion REG670 2.0 (ANSI)</t>
        </is>
      </c>
    </row>
    <row r="31">
      <c r="B31" s="4" t="inlineStr">
        <is>
          <t>IED tag / functional ID</t>
        </is>
      </c>
      <c r="C31" s="5" t="n"/>
    </row>
    <row r="32">
      <c r="B32" s="4" t="inlineStr">
        <is>
          <t>Serial number (SerialNo)</t>
        </is>
      </c>
      <c r="C32" s="5" t="n"/>
    </row>
    <row r="33">
      <c r="B33" s="4" t="inlineStr">
        <is>
          <t>Ordering number (OrderingNo)</t>
        </is>
      </c>
      <c r="C33" s="5" t="n"/>
    </row>
    <row r="34">
      <c r="B34" s="4" t="inlineStr">
        <is>
          <t>Firmware version (FirmwareVer)</t>
        </is>
      </c>
      <c r="C34" s="5" t="n"/>
    </row>
    <row r="35">
      <c r="B35" s="4" t="inlineStr">
        <is>
          <t>Product version (ProductVer)</t>
        </is>
      </c>
      <c r="C35" s="5" t="n"/>
    </row>
    <row r="36">
      <c r="B36" s="4" t="inlineStr">
        <is>
          <t>Production date (ProductionDate)</t>
        </is>
      </c>
      <c r="C36" s="5" t="n"/>
    </row>
    <row r="37">
      <c r="B37" s="4" t="inlineStr">
        <is>
          <t>Panel / cubicle location</t>
        </is>
      </c>
      <c r="C37" s="5" t="n"/>
    </row>
    <row r="38">
      <c r="B38" s="4" t="inlineStr">
        <is>
          <t>Active setting group (GRP 1–6)</t>
        </is>
      </c>
      <c r="C38" s="5" t="n"/>
    </row>
    <row r="39">
      <c r="B39" s="4" t="inlineStr">
        <is>
          <t>Global base voltage VBase (kV)</t>
        </is>
      </c>
      <c r="C39" s="5" t="n"/>
    </row>
    <row r="40">
      <c r="B40" s="4" t="inlineStr">
        <is>
          <t>Global base current IBase (A)</t>
        </is>
      </c>
      <c r="C40" s="5" t="n"/>
    </row>
    <row r="41">
      <c r="B41" s="4" t="inlineStr">
        <is>
          <t>PCM600 project file name</t>
        </is>
      </c>
      <c r="C41" s="5" t="n"/>
    </row>
    <row r="42">
      <c r="B42" s="4" t="inlineStr">
        <is>
          <t>Notes</t>
        </is>
      </c>
      <c r="C42" s="5" t="n"/>
    </row>
    <row r="44">
      <c r="B44" s="3" t="inlineStr">
        <is>
          <t>CT / VT Ratios (primary : secondary)  —  drives Expected Primary in analogue tables</t>
        </is>
      </c>
    </row>
    <row r="45">
      <c r="B45" s="6" t="inlineStr">
        <is>
          <t>Ratio</t>
        </is>
      </c>
      <c r="C45" s="6" t="inlineStr">
        <is>
          <t>Primary</t>
        </is>
      </c>
      <c r="D45" s="6" t="inlineStr">
        <is>
          <t>Secondary</t>
        </is>
      </c>
      <c r="E45" s="6" t="inlineStr">
        <is>
          <t>Ratio (P/S)</t>
        </is>
      </c>
      <c r="F45" s="6" t="inlineStr">
        <is>
          <t>Unit</t>
        </is>
      </c>
    </row>
    <row r="46">
      <c r="B46" s="4" t="inlineStr">
        <is>
          <t>Main VT (line-N)</t>
        </is>
      </c>
      <c r="C46" s="5" t="n">
        <v>11000</v>
      </c>
      <c r="D46" s="5" t="n">
        <v>63.5</v>
      </c>
      <c r="E46" s="7">
        <f>IFERROR(C46/D46,"")</f>
        <v/>
      </c>
      <c r="F46" s="8" t="inlineStr">
        <is>
          <t>V</t>
        </is>
      </c>
    </row>
    <row r="47">
      <c r="B47" s="4" t="inlineStr">
        <is>
          <t>Neutral VT (VN)</t>
        </is>
      </c>
      <c r="C47" s="5" t="n">
        <v>11000</v>
      </c>
      <c r="D47" s="5" t="n">
        <v>110</v>
      </c>
      <c r="E47" s="7">
        <f>IFERROR(C47/D47,"")</f>
        <v/>
      </c>
      <c r="F47" s="8" t="inlineStr">
        <is>
          <t>V</t>
        </is>
      </c>
    </row>
    <row r="48">
      <c r="B48" s="4" t="inlineStr">
        <is>
          <t>Generator terminal CT</t>
        </is>
      </c>
      <c r="C48" s="5" t="n">
        <v>1000</v>
      </c>
      <c r="D48" s="5" t="n">
        <v>5</v>
      </c>
      <c r="E48" s="7">
        <f>IFERROR(C48/D48,"")</f>
        <v/>
      </c>
      <c r="F48" s="8" t="inlineStr">
        <is>
          <t>A</t>
        </is>
      </c>
    </row>
    <row r="49">
      <c r="B49" s="4" t="inlineStr">
        <is>
          <t>Generator neutral CT</t>
        </is>
      </c>
      <c r="C49" s="5" t="n">
        <v>1000</v>
      </c>
      <c r="D49" s="5" t="n">
        <v>5</v>
      </c>
      <c r="E49" s="7">
        <f>IFERROR(C49/D49,"")</f>
        <v/>
      </c>
      <c r="F49" s="8" t="inlineStr">
        <is>
          <t>A</t>
        </is>
      </c>
    </row>
    <row r="51">
      <c r="B51" s="3" t="inlineStr">
        <is>
          <t>Test Tolerances (drives auto pass/fail)</t>
        </is>
      </c>
    </row>
    <row r="52">
      <c r="B52" s="4" t="inlineStr">
        <is>
          <t>Voltage magnitude tolerance (%)</t>
        </is>
      </c>
      <c r="C52" s="9" t="n">
        <v>1</v>
      </c>
    </row>
    <row r="53">
      <c r="B53" s="4" t="inlineStr">
        <is>
          <t>Current magnitude tolerance (%)</t>
        </is>
      </c>
      <c r="C53" s="9" t="n">
        <v>1</v>
      </c>
    </row>
    <row r="54">
      <c r="B54" s="4" t="inlineStr">
        <is>
          <t>Phase angle tolerance (°)</t>
        </is>
      </c>
      <c r="C54" s="9" t="n">
        <v>1</v>
      </c>
    </row>
    <row r="55">
      <c r="B55" s="4" t="inlineStr">
        <is>
          <t>Element pickup tolerance (%)</t>
        </is>
      </c>
      <c r="C55" s="9" t="n">
        <v>5</v>
      </c>
    </row>
    <row r="56">
      <c r="B56" s="4" t="inlineStr">
        <is>
          <t>Element timing tolerance (%)</t>
        </is>
      </c>
      <c r="C56" s="9" t="n">
        <v>5</v>
      </c>
    </row>
    <row r="58">
      <c r="B58" s="3" t="inlineStr">
        <is>
          <t>Auto-rolled-up status (calculated)</t>
        </is>
      </c>
    </row>
    <row r="59">
      <c r="B59" s="4" t="inlineStr">
        <is>
          <t>Analogue inputs</t>
        </is>
      </c>
      <c r="C59" s="10">
        <f>IF(COUNTIF('4. Analogue Inputs'!$K$1:$K$300,"FAIL")&gt;0,"FAIL",IF(COUNTIF('4. Analogue Inputs'!$K$1:$K$300,"PASS")&gt;0,"PASS",""))</f>
        <v/>
      </c>
    </row>
    <row r="60">
      <c r="B60" s="4" t="inlineStr">
        <is>
          <t>Element tests</t>
        </is>
      </c>
      <c r="C60" s="10">
        <f>IF(COUNTIF('7. Element Results'!$L$1:$L$300,"FAIL")&gt;0,"FAIL",IF(COUNTIF('7. Element Results'!$L$1:$L$300,"PASS")&gt;0,"PASS",""))</f>
        <v/>
      </c>
    </row>
    <row r="61">
      <c r="B61" s="4" t="inlineStr">
        <is>
          <t>Auto overall</t>
        </is>
      </c>
      <c r="C61" s="10">
        <f>IF(OR(C59="FAIL",C60="FAIL"),"FAIL",IF(AND(C59="PASS",C60="PASS"),"PASS","INCOMPLETE"))</f>
        <v/>
      </c>
    </row>
    <row r="63">
      <c r="B63" s="11" t="inlineStr">
        <is>
          <t>Legend: blue text = user input.  Grey/auto cells are calculated.  Yellow tolerance cells drive PASS/FAIL.</t>
        </is>
      </c>
    </row>
  </sheetData>
  <conditionalFormatting sqref="C59">
    <cfRule type="cellIs" priority="1" operator="equal" dxfId="0">
      <formula>"PASS"</formula>
    </cfRule>
    <cfRule type="cellIs" priority="2" operator="equal" dxfId="1">
      <formula>"FAIL"</formula>
    </cfRule>
  </conditionalFormatting>
  <conditionalFormatting sqref="C60">
    <cfRule type="cellIs" priority="3" operator="equal" dxfId="0">
      <formula>"PASS"</formula>
    </cfRule>
    <cfRule type="cellIs" priority="4" operator="equal" dxfId="1">
      <formula>"FAIL"</formula>
    </cfRule>
  </conditionalFormatting>
  <conditionalFormatting sqref="C61">
    <cfRule type="cellIs" priority="5" operator="equal" dxfId="0">
      <formula>"PASS"</formula>
    </cfRule>
    <cfRule type="cellIs" priority="6" operator="equal" dxfId="1">
      <formula>"FAIL"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B2:F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20" customWidth="1" min="3" max="3"/>
    <col width="16" customWidth="1" min="4" max="4"/>
    <col width="16" customWidth="1" min="5" max="5"/>
    <col width="14" customWidth="1" min="6" max="6"/>
  </cols>
  <sheetData>
    <row r="2">
      <c r="B2" s="1" t="inlineStr">
        <is>
          <t>Test Equipment &amp; Reference Drawings</t>
        </is>
      </c>
    </row>
    <row r="4">
      <c r="B4" s="6" t="inlineStr">
        <is>
          <t>Equipment</t>
        </is>
      </c>
      <c r="C4" s="6" t="inlineStr">
        <is>
          <t>Make / Model</t>
        </is>
      </c>
      <c r="D4" s="6" t="inlineStr">
        <is>
          <t>Serial No.</t>
        </is>
      </c>
      <c r="E4" s="6" t="inlineStr">
        <is>
          <t>Last Cal.</t>
        </is>
      </c>
      <c r="F4" s="6" t="inlineStr">
        <is>
          <t>Cal. Due</t>
        </is>
      </c>
    </row>
    <row r="5">
      <c r="B5" s="5" t="inlineStr">
        <is>
          <t>Three-phase test set</t>
        </is>
      </c>
      <c r="C5" s="5" t="inlineStr">
        <is>
          <t>Omicron CMC</t>
        </is>
      </c>
      <c r="D5" s="5" t="n"/>
      <c r="E5" s="5" t="n"/>
      <c r="F5" s="5" t="n"/>
    </row>
    <row r="6">
      <c r="B6" s="5" t="inlineStr">
        <is>
          <t>Laptop (PCM600)</t>
        </is>
      </c>
      <c r="C6" s="5" t="n"/>
      <c r="D6" s="5" t="n"/>
      <c r="E6" s="5" t="n"/>
      <c r="F6" s="5" t="n"/>
    </row>
    <row r="7">
      <c r="B7" s="5" t="inlineStr">
        <is>
          <t>20 Hz injection set (64S/64R)</t>
        </is>
      </c>
      <c r="C7" s="5" t="inlineStr">
        <is>
          <t>ABB REX060</t>
        </is>
      </c>
      <c r="D7" s="5" t="n"/>
      <c r="E7" s="5" t="n"/>
      <c r="F7" s="5" t="n"/>
    </row>
    <row r="8">
      <c r="B8" s="5" t="n"/>
      <c r="C8" s="5" t="n"/>
      <c r="D8" s="5" t="n"/>
      <c r="E8" s="5" t="n"/>
      <c r="F8" s="5" t="n"/>
    </row>
    <row r="9">
      <c r="B9" s="5" t="n"/>
      <c r="C9" s="5" t="n"/>
      <c r="D9" s="5" t="n"/>
      <c r="E9" s="5" t="n"/>
      <c r="F9" s="5" t="n"/>
    </row>
    <row r="12">
      <c r="B12" s="6" t="inlineStr">
        <is>
          <t>Drawing No.</t>
        </is>
      </c>
      <c r="C12" s="6" t="inlineStr">
        <is>
          <t>Title</t>
        </is>
      </c>
      <c r="D12" s="6" t="inlineStr">
        <is>
          <t>Revision</t>
        </is>
      </c>
      <c r="E12" s="6" t="inlineStr">
        <is>
          <t>Date</t>
        </is>
      </c>
    </row>
    <row r="13">
      <c r="B13" s="5" t="n"/>
      <c r="C13" s="5" t="inlineStr">
        <is>
          <t>Single line diagram</t>
        </is>
      </c>
      <c r="D13" s="5" t="n"/>
      <c r="E13" s="5" t="n"/>
    </row>
    <row r="14">
      <c r="B14" s="5" t="n"/>
      <c r="C14" s="5" t="inlineStr">
        <is>
          <t>AC schematic / CT-VT</t>
        </is>
      </c>
      <c r="D14" s="5" t="n"/>
      <c r="E14" s="5" t="n"/>
    </row>
    <row r="15">
      <c r="B15" s="5" t="n"/>
      <c r="C15" s="5" t="inlineStr">
        <is>
          <t>DC schematic / trip</t>
        </is>
      </c>
      <c r="D15" s="5" t="n"/>
      <c r="E15" s="5" t="n"/>
    </row>
    <row r="16">
      <c r="B16" s="5" t="n"/>
      <c r="C16" s="5" t="inlineStr">
        <is>
          <t>Binary I/O allocation</t>
        </is>
      </c>
      <c r="D16" s="5" t="n"/>
      <c r="E16" s="5" t="n"/>
    </row>
    <row r="17">
      <c r="B17" s="5" t="n"/>
      <c r="C17" s="5" t="n"/>
      <c r="D17" s="5" t="n"/>
      <c r="E17" s="5" t="n"/>
    </row>
    <row r="18">
      <c r="B18" s="5" t="n"/>
      <c r="C18" s="5" t="n"/>
      <c r="D18" s="5" t="n"/>
      <c r="E18" s="5" t="n"/>
    </row>
    <row r="21">
      <c r="B21" s="3" t="inlineStr">
        <is>
          <t>Test File &amp; Reference Document Locations</t>
        </is>
      </c>
    </row>
    <row r="22">
      <c r="B22" s="4" t="inlineStr">
        <is>
          <t>Omicron test file (.occ)</t>
        </is>
      </c>
      <c r="C22" s="5" t="n"/>
    </row>
    <row r="23">
      <c r="B23" s="4" t="inlineStr">
        <is>
          <t>PCM600 project file (.pcmp/.pcmi)</t>
        </is>
      </c>
      <c r="C23" s="5" t="n"/>
    </row>
    <row r="24">
      <c r="B24" s="4" t="inlineStr">
        <is>
          <t>SharePoint — Settings</t>
        </is>
      </c>
      <c r="C24" s="5" t="n"/>
    </row>
    <row r="25">
      <c r="B25" s="4" t="inlineStr">
        <is>
          <t>SharePoint — Functional description</t>
        </is>
      </c>
      <c r="C25" s="5" t="n"/>
    </row>
    <row r="26">
      <c r="B26" s="4" t="inlineStr">
        <is>
          <t>SharePoint — Drawings</t>
        </is>
      </c>
      <c r="C26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4E79"/>
    <outlinePr summaryBelow="1" summaryRight="1"/>
    <pageSetUpPr/>
  </sheetPr>
  <dimension ref="B2:F5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60" customWidth="1" min="3" max="3"/>
    <col width="12" customWidth="1" min="4" max="4"/>
    <col width="26" customWidth="1" min="5" max="5"/>
    <col width="10" customWidth="1" min="6" max="6"/>
  </cols>
  <sheetData>
    <row r="2">
      <c r="B2" s="1" t="inlineStr">
        <is>
          <t>Pre-Test Checklist</t>
        </is>
      </c>
    </row>
    <row r="4">
      <c r="B4" s="3" t="inlineStr">
        <is>
          <t>3.1 Visual Inspection</t>
        </is>
      </c>
    </row>
    <row r="5">
      <c r="B5" s="6" t="inlineStr">
        <is>
          <t>#</t>
        </is>
      </c>
      <c r="C5" s="6" t="inlineStr">
        <is>
          <t>Check</t>
        </is>
      </c>
      <c r="D5" s="6" t="inlineStr">
        <is>
          <t>Status</t>
        </is>
      </c>
      <c r="E5" s="6" t="inlineStr">
        <is>
          <t>Notes / Value</t>
        </is>
      </c>
      <c r="F5" s="6" t="inlineStr">
        <is>
          <t>Initials</t>
        </is>
      </c>
    </row>
    <row r="6">
      <c r="B6" s="8" t="n">
        <v>1</v>
      </c>
      <c r="C6" s="12" t="inlineStr">
        <is>
          <t>IED mounted securely; no physical damage to LHMI or terminals.</t>
        </is>
      </c>
      <c r="D6" s="5" t="n"/>
      <c r="E6" s="5" t="n"/>
      <c r="F6" s="5" t="n"/>
    </row>
    <row r="7">
      <c r="B7" s="8" t="n">
        <v>2</v>
      </c>
      <c r="C7" s="12" t="inlineStr">
        <is>
          <t>LHMI display, buttons and LEDs illuminate during lamp test.</t>
        </is>
      </c>
      <c r="D7" s="5" t="n"/>
      <c r="E7" s="5" t="n"/>
      <c r="F7" s="5" t="n"/>
    </row>
    <row r="8">
      <c r="B8" s="8" t="n">
        <v>3</v>
      </c>
      <c r="C8" s="12" t="inlineStr">
        <is>
          <t>All wiring terminations tight (sample); no overheating.</t>
        </is>
      </c>
      <c r="D8" s="5" t="n"/>
      <c r="E8" s="5" t="n"/>
      <c r="F8" s="5" t="n"/>
    </row>
    <row r="9">
      <c r="B9" s="8" t="n">
        <v>4</v>
      </c>
      <c r="C9" s="12" t="inlineStr">
        <is>
          <t>No active alarm LEDs or messages on arrival.</t>
        </is>
      </c>
      <c r="D9" s="5" t="n"/>
      <c r="E9" s="5" t="n"/>
      <c r="F9" s="5" t="n"/>
    </row>
    <row r="10">
      <c r="B10" s="8" t="n">
        <v>5</v>
      </c>
      <c r="C10" s="12" t="inlineStr">
        <is>
          <t>Aux supply at PSM within tolerance (record value).</t>
        </is>
      </c>
      <c r="D10" s="5" t="n"/>
      <c r="E10" s="5" t="n"/>
      <c r="F10" s="5" t="n"/>
    </row>
    <row r="11">
      <c r="B11" s="8" t="n">
        <v>6</v>
      </c>
      <c r="C11" s="12" t="inlineStr">
        <is>
          <t>INTERNAL FAIL contact wiring on PSM intact.</t>
        </is>
      </c>
      <c r="D11" s="5" t="n"/>
      <c r="E11" s="5" t="n"/>
      <c r="F11" s="5" t="n"/>
    </row>
    <row r="13">
      <c r="B13" s="3" t="inlineStr">
        <is>
          <t>3.2 Connect to IED &amp; Verify Status</t>
        </is>
      </c>
    </row>
    <row r="14">
      <c r="B14" s="6" t="inlineStr">
        <is>
          <t>#</t>
        </is>
      </c>
      <c r="C14" s="6" t="inlineStr">
        <is>
          <t>Check</t>
        </is>
      </c>
      <c r="D14" s="6" t="inlineStr">
        <is>
          <t>Status</t>
        </is>
      </c>
      <c r="E14" s="6" t="inlineStr">
        <is>
          <t>Notes / Value</t>
        </is>
      </c>
      <c r="F14" s="6" t="inlineStr">
        <is>
          <t>Initials</t>
        </is>
      </c>
    </row>
    <row r="15">
      <c r="B15" s="8" t="n">
        <v>7</v>
      </c>
      <c r="C15" s="12" t="inlineStr">
        <is>
          <t>Connected via LHMI (front RJ-45) or PCM600 (Ethernet).</t>
        </is>
      </c>
      <c r="D15" s="5" t="n"/>
      <c r="E15" s="5" t="n"/>
      <c r="F15" s="5" t="n"/>
    </row>
    <row r="16">
      <c r="B16" s="8" t="n">
        <v>8</v>
      </c>
      <c r="C16" s="12" t="inlineStr">
        <is>
          <t>"Normal" green status LED lit and steady (IED healthy).</t>
        </is>
      </c>
      <c r="D16" s="5" t="n"/>
      <c r="E16" s="5" t="n"/>
      <c r="F16" s="5" t="n"/>
    </row>
    <row r="17">
      <c r="B17" s="8" t="n">
        <v>9</v>
      </c>
      <c r="C17" s="12" t="inlineStr">
        <is>
          <t>Diagnostics &gt; IED status &gt; General: no FAIL/WARNING active.</t>
        </is>
      </c>
      <c r="D17" s="5" t="n"/>
      <c r="E17" s="5" t="n"/>
      <c r="F17" s="5" t="n"/>
    </row>
    <row r="18">
      <c r="B18" s="8" t="n">
        <v>10</v>
      </c>
      <c r="C18" s="12" t="inlineStr">
        <is>
          <t>Firmware version recorded from Product identifiers (Cover).</t>
        </is>
      </c>
      <c r="D18" s="5" t="n"/>
      <c r="E18" s="5" t="n"/>
      <c r="F18" s="5" t="n"/>
    </row>
    <row r="19">
      <c r="B19" s="8" t="n">
        <v>11</v>
      </c>
      <c r="C19" s="12" t="inlineStr">
        <is>
          <t>Firmware matches plant register.</t>
        </is>
      </c>
      <c r="D19" s="5" t="n"/>
      <c r="E19" s="5" t="n"/>
      <c r="F19" s="5" t="n"/>
    </row>
    <row r="21">
      <c r="B21" s="3" t="inlineStr">
        <is>
          <t>3.3 Self-Supervision Review (ABB-specific)</t>
        </is>
      </c>
    </row>
    <row r="22">
      <c r="B22" s="6" t="inlineStr">
        <is>
          <t>#</t>
        </is>
      </c>
      <c r="C22" s="6" t="inlineStr">
        <is>
          <t>Check</t>
        </is>
      </c>
      <c r="D22" s="6" t="inlineStr">
        <is>
          <t>Status</t>
        </is>
      </c>
      <c r="E22" s="6" t="inlineStr">
        <is>
          <t>Notes / Value</t>
        </is>
      </c>
      <c r="F22" s="6" t="inlineStr">
        <is>
          <t>Initials</t>
        </is>
      </c>
    </row>
    <row r="23">
      <c r="B23" s="8" t="n">
        <v>12</v>
      </c>
      <c r="C23" s="12" t="inlineStr">
        <is>
          <t>Diagnostics &gt; Internal events reviewed; events since last visit recorded.</t>
        </is>
      </c>
      <c r="D23" s="5" t="n"/>
      <c r="E23" s="5" t="n"/>
      <c r="F23" s="5" t="n"/>
    </row>
    <row r="24">
      <c r="B24" s="8" t="n">
        <v>13</v>
      </c>
      <c r="C24" s="12" t="inlineStr">
        <is>
          <t>No active FAIL / WARNING / RTCERROR / TIMESYNCHERROR signals.</t>
        </is>
      </c>
      <c r="D24" s="5" t="n"/>
      <c r="E24" s="5" t="n"/>
      <c r="F24" s="5" t="n"/>
    </row>
    <row r="25">
      <c r="B25" s="8" t="n">
        <v>14</v>
      </c>
      <c r="C25" s="12" t="inlineStr">
        <is>
          <t>No RTEERROR / IEC61850ERROR / WATCHDOG / LMDERROR / APPERROR.</t>
        </is>
      </c>
      <c r="D25" s="5" t="n"/>
      <c r="E25" s="5" t="n"/>
      <c r="F25" s="5" t="n"/>
    </row>
    <row r="26">
      <c r="B26" s="8" t="n">
        <v>15</v>
      </c>
      <c r="C26" s="12" t="inlineStr">
        <is>
          <t>No module errors (PSM/ADOne/BIM/BOM/IOM/MIM/LDCM).</t>
        </is>
      </c>
      <c r="D26" s="5" t="n"/>
      <c r="E26" s="5" t="n"/>
      <c r="F26" s="5" t="n"/>
    </row>
    <row r="27">
      <c r="B27" s="8" t="n">
        <v>16</v>
      </c>
      <c r="C27" s="12" t="inlineStr">
        <is>
          <t>INTERNAL FAIL contact on PSM de-energised (healthy).</t>
        </is>
      </c>
      <c r="D27" s="5" t="n"/>
      <c r="E27" s="5" t="n"/>
      <c r="F27" s="5" t="n"/>
    </row>
    <row r="28">
      <c r="B28" s="8" t="n">
        <v>17</v>
      </c>
      <c r="C28" s="12" t="inlineStr">
        <is>
          <t>No self-supervision alarm LEDs lit.</t>
        </is>
      </c>
      <c r="D28" s="5" t="n"/>
      <c r="E28" s="5" t="n"/>
      <c r="F28" s="5" t="n"/>
    </row>
    <row r="29">
      <c r="B29" s="8" t="n">
        <v>18</v>
      </c>
      <c r="C29" s="12" t="inlineStr">
        <is>
          <t>Overall self-supervision status recorded (All OK / events noted).</t>
        </is>
      </c>
      <c r="D29" s="5" t="n"/>
      <c r="E29" s="5" t="n"/>
      <c r="F29" s="5" t="n"/>
    </row>
    <row r="31">
      <c r="B31" s="3" t="inlineStr">
        <is>
          <t>3.4 Time / Clock Check</t>
        </is>
      </c>
    </row>
    <row r="32">
      <c r="B32" s="6" t="inlineStr">
        <is>
          <t>#</t>
        </is>
      </c>
      <c r="C32" s="6" t="inlineStr">
        <is>
          <t>Check</t>
        </is>
      </c>
      <c r="D32" s="6" t="inlineStr">
        <is>
          <t>Status</t>
        </is>
      </c>
      <c r="E32" s="6" t="inlineStr">
        <is>
          <t>Notes / Value</t>
        </is>
      </c>
      <c r="F32" s="6" t="inlineStr">
        <is>
          <t>Initials</t>
        </is>
      </c>
    </row>
    <row r="33">
      <c r="B33" s="8" t="n">
        <v>19</v>
      </c>
      <c r="C33" s="12" t="inlineStr">
        <is>
          <t>Read IED date/time (Diagnostics &gt; IED status &gt; General); record drift.</t>
        </is>
      </c>
      <c r="D33" s="5" t="n"/>
      <c r="E33" s="5" t="n"/>
      <c r="F33" s="5" t="n"/>
    </row>
    <row r="34">
      <c r="B34" s="8" t="n">
        <v>20</v>
      </c>
      <c r="C34" s="12" t="inlineStr">
        <is>
          <t>Time source identified (GPS / IRIG-B / SNTP / LON / SPA / BIN).</t>
        </is>
      </c>
      <c r="D34" s="5" t="n"/>
      <c r="E34" s="5" t="n"/>
      <c r="F34" s="5" t="n"/>
    </row>
    <row r="35">
      <c r="B35" s="8" t="n">
        <v>21</v>
      </c>
      <c r="C35" s="12" t="inlineStr">
        <is>
          <t>TIMESYNCHERROR signal state noted.</t>
        </is>
      </c>
      <c r="D35" s="5" t="n"/>
      <c r="E35" s="5" t="n"/>
      <c r="F35" s="5" t="n"/>
    </row>
    <row r="37">
      <c r="B37" s="3" t="inlineStr">
        <is>
          <t>3.5 Event &amp; Disturbance Records</t>
        </is>
      </c>
    </row>
    <row r="38">
      <c r="B38" s="6" t="inlineStr">
        <is>
          <t>#</t>
        </is>
      </c>
      <c r="C38" s="6" t="inlineStr">
        <is>
          <t>Check</t>
        </is>
      </c>
      <c r="D38" s="6" t="inlineStr">
        <is>
          <t>Status</t>
        </is>
      </c>
      <c r="E38" s="6" t="inlineStr">
        <is>
          <t>Notes / Value</t>
        </is>
      </c>
      <c r="F38" s="6" t="inlineStr">
        <is>
          <t>Initials</t>
        </is>
      </c>
    </row>
    <row r="39">
      <c r="B39" s="8" t="n">
        <v>22</v>
      </c>
      <c r="C39" s="12" t="inlineStr">
        <is>
          <t>Events exported (LHMI &gt; Events / PCM600) as YYYYMMDD_[tag]_EVE_asfound.</t>
        </is>
      </c>
      <c r="D39" s="5" t="n"/>
      <c r="E39" s="5" t="n"/>
      <c r="F39" s="5" t="n"/>
    </row>
    <row r="40">
      <c r="B40" s="8" t="n">
        <v>23</v>
      </c>
      <c r="C40" s="12" t="inlineStr">
        <is>
          <t>Disturbance records (DRPRDRE) downloaded as YYYYMMDD_[tag]_DIST_asfound.</t>
        </is>
      </c>
      <c r="D40" s="5" t="n"/>
      <c r="E40" s="5" t="n"/>
      <c r="F40" s="5" t="n"/>
    </row>
    <row r="41">
      <c r="B41" s="8" t="n">
        <v>24</v>
      </c>
      <c r="C41" s="12" t="inlineStr">
        <is>
          <t>Reviewed for unexpected operations / pickups / chatter.</t>
        </is>
      </c>
      <c r="D41" s="5" t="n"/>
      <c r="E41" s="5" t="n"/>
      <c r="F41" s="5" t="n"/>
    </row>
    <row r="42">
      <c r="B42" s="8" t="n">
        <v>25</v>
      </c>
      <c r="C42" s="12" t="inlineStr">
        <is>
          <t>Anomalies cross-referenced with operations / SCADA log.</t>
        </is>
      </c>
      <c r="D42" s="5" t="n"/>
      <c r="E42" s="5" t="n"/>
      <c r="F42" s="5" t="n"/>
    </row>
    <row r="44">
      <c r="B44" s="3" t="inlineStr">
        <is>
          <t>3.6 Settings — As-Found</t>
        </is>
      </c>
    </row>
    <row r="45">
      <c r="B45" s="6" t="inlineStr">
        <is>
          <t>#</t>
        </is>
      </c>
      <c r="C45" s="6" t="inlineStr">
        <is>
          <t>Check</t>
        </is>
      </c>
      <c r="D45" s="6" t="inlineStr">
        <is>
          <t>Status</t>
        </is>
      </c>
      <c r="E45" s="6" t="inlineStr">
        <is>
          <t>Notes / Value</t>
        </is>
      </c>
      <c r="F45" s="6" t="inlineStr">
        <is>
          <t>Initials</t>
        </is>
      </c>
    </row>
    <row r="46">
      <c r="B46" s="8" t="n">
        <v>26</v>
      </c>
      <c r="C46" s="12" t="inlineStr">
        <is>
          <t>PCM600 upload; saved as asfound_[date]_[tag].pcm.</t>
        </is>
      </c>
      <c r="D46" s="5" t="n"/>
      <c r="E46" s="5" t="n"/>
      <c r="F46" s="5" t="n"/>
    </row>
    <row r="47">
      <c r="B47" s="8" t="n">
        <v>27</v>
      </c>
      <c r="C47" s="12" t="inlineStr">
        <is>
          <t>Compared as-found vs. master settings.</t>
        </is>
      </c>
      <c r="D47" s="5" t="n"/>
      <c r="E47" s="5" t="n"/>
      <c r="F47" s="5" t="n"/>
    </row>
    <row r="48">
      <c r="B48" s="8" t="n">
        <v>28</v>
      </c>
      <c r="C48" s="12" t="inlineStr">
        <is>
          <t>All differences documented.</t>
        </is>
      </c>
      <c r="D48" s="5" t="n"/>
      <c r="E48" s="5" t="n"/>
      <c r="F48" s="5" t="n"/>
    </row>
    <row r="49">
      <c r="B49" s="8" t="n">
        <v>29</v>
      </c>
      <c r="C49" s="12" t="inlineStr">
        <is>
          <t>Differences are authorised changes only.</t>
        </is>
      </c>
      <c r="D49" s="5" t="n"/>
      <c r="E49" s="5" t="n"/>
      <c r="F49" s="5" t="n"/>
    </row>
    <row r="51">
      <c r="B51" s="3" t="inlineStr">
        <is>
          <t>3.7 Settings vs. Functional Description</t>
        </is>
      </c>
    </row>
    <row r="52">
      <c r="B52" s="6" t="inlineStr">
        <is>
          <t>#</t>
        </is>
      </c>
      <c r="C52" s="6" t="inlineStr">
        <is>
          <t>Check</t>
        </is>
      </c>
      <c r="D52" s="6" t="inlineStr">
        <is>
          <t>Status</t>
        </is>
      </c>
      <c r="E52" s="6" t="inlineStr">
        <is>
          <t>Notes / Value</t>
        </is>
      </c>
      <c r="F52" s="6" t="inlineStr">
        <is>
          <t>Initials</t>
        </is>
      </c>
    </row>
    <row r="53">
      <c r="B53" s="8" t="n">
        <v>30</v>
      </c>
      <c r="C53" s="12" t="inlineStr">
        <is>
          <t>Enabled functions match functional description.</t>
        </is>
      </c>
      <c r="D53" s="5" t="n"/>
      <c r="E53" s="5" t="n"/>
      <c r="F53" s="5" t="n"/>
    </row>
    <row r="54">
      <c r="B54" s="8" t="n">
        <v>31</v>
      </c>
      <c r="C54" s="12" t="inlineStr">
        <is>
          <t>Key element settings match document.</t>
        </is>
      </c>
      <c r="D54" s="5" t="n"/>
      <c r="E54" s="5" t="n"/>
      <c r="F54" s="5" t="n"/>
    </row>
    <row r="55">
      <c r="B55" s="8" t="n">
        <v>32</v>
      </c>
      <c r="C55" s="12" t="inlineStr">
        <is>
          <t>CT/VT ratios and VBase/IBase match nameplate/SLD and Cover.</t>
        </is>
      </c>
      <c r="D55" s="5" t="n"/>
      <c r="E55" s="5" t="n"/>
      <c r="F55" s="5" t="n"/>
    </row>
    <row r="56">
      <c r="B56" s="8" t="n">
        <v>33</v>
      </c>
      <c r="C56" s="12" t="inlineStr">
        <is>
          <t>Trip matrix / SMBO output mapping matches functional description.</t>
        </is>
      </c>
      <c r="D56" s="5" t="n"/>
      <c r="E56" s="5" t="n"/>
      <c r="F56" s="5" t="n"/>
    </row>
    <row r="57">
      <c r="B57" s="8" t="n">
        <v>34</v>
      </c>
      <c r="C57" s="12" t="inlineStr">
        <is>
          <t>Active setting group recorded.</t>
        </is>
      </c>
      <c r="D57" s="5" t="n"/>
      <c r="E57" s="5" t="n"/>
      <c r="F57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4E79"/>
    <outlinePr summaryBelow="1" summaryRight="1"/>
    <pageSetUpPr/>
  </sheetPr>
  <dimension ref="B2:L44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6" customWidth="1" min="2" max="2"/>
    <col width="13" customWidth="1" min="3" max="3"/>
    <col width="12" customWidth="1" min="4" max="4"/>
    <col width="16" customWidth="1" min="5" max="5"/>
    <col width="18" customWidth="1" min="6" max="6"/>
    <col width="16" customWidth="1" min="7" max="7"/>
    <col width="12" customWidth="1" min="8" max="8"/>
    <col width="12" customWidth="1" min="9" max="9"/>
    <col width="12" customWidth="1" min="10" max="10"/>
    <col width="8" customWidth="1" min="11" max="11"/>
    <col width="24" customWidth="1" min="12" max="12"/>
  </cols>
  <sheetData>
    <row r="2">
      <c r="B2" s="1" t="inlineStr">
        <is>
          <t>Analogue Input Verification — PRIMARY values</t>
        </is>
      </c>
    </row>
    <row r="3">
      <c r="B3" s="13" t="inlineStr">
        <is>
          <t>Inject secondary; the IED reports PRIMARY values via Measurements using the ratios on the Cover. Expected Primary, error % and pass/fail compute automatically. Magnitude tolerance: TolV_pct / TolI_pct; angle tolerance: TolAngle_deg.</t>
        </is>
      </c>
    </row>
    <row r="4">
      <c r="B4" s="13" t="inlineStr">
        <is>
          <t>If Expected Primary is blank, check the corresponding CT/VT ratio is filled on the Cover.</t>
        </is>
      </c>
    </row>
    <row r="6">
      <c r="B6" s="3" t="inlineStr">
        <is>
          <t>4.1 Main VT — Three-Phase Voltage Injection</t>
        </is>
      </c>
    </row>
    <row r="7">
      <c r="B7" s="6" t="inlineStr">
        <is>
          <t>Step</t>
        </is>
      </c>
      <c r="C7" s="6" t="inlineStr">
        <is>
          <t>Injected (sec)</t>
        </is>
      </c>
      <c r="D7" s="6" t="inlineStr">
        <is>
          <t>Inj Angle (°)</t>
        </is>
      </c>
      <c r="E7" s="6" t="inlineStr">
        <is>
          <t>Phase / Input</t>
        </is>
      </c>
      <c r="F7" s="6" t="inlineStr">
        <is>
          <t>Expected Primary</t>
        </is>
      </c>
      <c r="G7" s="6" t="inlineStr">
        <is>
          <t>Relay Primary Reported</t>
        </is>
      </c>
      <c r="H7" s="6" t="inlineStr">
        <is>
          <t>Relay Angle (°)</t>
        </is>
      </c>
      <c r="I7" s="6" t="inlineStr">
        <is>
          <t>Mag Err (%)</t>
        </is>
      </c>
      <c r="J7" s="6" t="inlineStr">
        <is>
          <t>Angle Err (°)</t>
        </is>
      </c>
      <c r="K7" s="6" t="inlineStr">
        <is>
          <t>P / F</t>
        </is>
      </c>
      <c r="L7" s="6" t="inlineStr">
        <is>
          <t>Notes</t>
        </is>
      </c>
    </row>
    <row r="8">
      <c r="B8" s="14" t="n">
        <v>1</v>
      </c>
      <c r="C8" s="14" t="n">
        <v>63.5</v>
      </c>
      <c r="D8" s="14" t="n">
        <v>0</v>
      </c>
      <c r="E8" s="5" t="inlineStr">
        <is>
          <t>L1 (VA)</t>
        </is>
      </c>
      <c r="F8" s="7">
        <f>IFERROR(C8*Ratio_VTmain,"")</f>
        <v/>
      </c>
      <c r="G8" s="14" t="n"/>
      <c r="H8" s="14" t="n"/>
      <c r="I8" s="7">
        <f>IFERROR(IF(OR(F8="",G8=""),"",(G8-F8)/F8*100),"")</f>
        <v/>
      </c>
      <c r="J8" s="7">
        <f>IFERROR(IF(OR(D8="",H8=""),"",H8-D8),"")</f>
        <v/>
      </c>
      <c r="K8" s="8">
        <f>IF(AND(NOT(ISNUMBER(I8)),NOT(ISNUMBER(J8))),"",IF(OR(AND(ISNUMBER(I8),ABS(N(I8))&gt;TolV_pct),AND(ISNUMBER(J8),ABS(N(J8))&gt;TolAngle_deg)),"FAIL","PASS"))</f>
        <v/>
      </c>
      <c r="L8" s="5" t="n"/>
    </row>
    <row r="9">
      <c r="B9" s="14" t="n">
        <v>1</v>
      </c>
      <c r="C9" s="14" t="n">
        <v>63.5</v>
      </c>
      <c r="D9" s="14" t="n">
        <v>-120</v>
      </c>
      <c r="E9" s="5" t="inlineStr">
        <is>
          <t>L2 (VB)</t>
        </is>
      </c>
      <c r="F9" s="7">
        <f>IFERROR(C9*Ratio_VTmain,"")</f>
        <v/>
      </c>
      <c r="G9" s="14" t="n"/>
      <c r="H9" s="14" t="n"/>
      <c r="I9" s="7">
        <f>IFERROR(IF(OR(F9="",G9=""),"",(G9-F9)/F9*100),"")</f>
        <v/>
      </c>
      <c r="J9" s="7">
        <f>IFERROR(IF(OR(D9="",H9=""),"",H9-D9),"")</f>
        <v/>
      </c>
      <c r="K9" s="8">
        <f>IF(AND(NOT(ISNUMBER(I9)),NOT(ISNUMBER(J9))),"",IF(OR(AND(ISNUMBER(I9),ABS(N(I9))&gt;TolV_pct),AND(ISNUMBER(J9),ABS(N(J9))&gt;TolAngle_deg)),"FAIL","PASS"))</f>
        <v/>
      </c>
      <c r="L9" s="5" t="n"/>
    </row>
    <row r="10">
      <c r="B10" s="14" t="n">
        <v>1</v>
      </c>
      <c r="C10" s="14" t="n">
        <v>63.5</v>
      </c>
      <c r="D10" s="14" t="n">
        <v>120</v>
      </c>
      <c r="E10" s="5" t="inlineStr">
        <is>
          <t>L3 (VC)</t>
        </is>
      </c>
      <c r="F10" s="7">
        <f>IFERROR(C10*Ratio_VTmain,"")</f>
        <v/>
      </c>
      <c r="G10" s="14" t="n"/>
      <c r="H10" s="14" t="n"/>
      <c r="I10" s="7">
        <f>IFERROR(IF(OR(F10="",G10=""),"",(G10-F10)/F10*100),"")</f>
        <v/>
      </c>
      <c r="J10" s="7">
        <f>IFERROR(IF(OR(D10="",H10=""),"",H10-D10),"")</f>
        <v/>
      </c>
      <c r="K10" s="8">
        <f>IF(AND(NOT(ISNUMBER(I10)),NOT(ISNUMBER(J10))),"",IF(OR(AND(ISNUMBER(I10),ABS(N(I10))&gt;TolV_pct),AND(ISNUMBER(J10),ABS(N(J10))&gt;TolAngle_deg)),"FAIL","PASS"))</f>
        <v/>
      </c>
      <c r="L10" s="5" t="n"/>
    </row>
    <row r="11">
      <c r="B11" s="14" t="n">
        <v>2</v>
      </c>
      <c r="C11" s="14" t="n">
        <v>30</v>
      </c>
      <c r="D11" s="14" t="n">
        <v>0</v>
      </c>
      <c r="E11" s="5" t="inlineStr">
        <is>
          <t>L1 (VA)</t>
        </is>
      </c>
      <c r="F11" s="7">
        <f>IFERROR(C11*Ratio_VTmain,"")</f>
        <v/>
      </c>
      <c r="G11" s="14" t="n"/>
      <c r="H11" s="14" t="n"/>
      <c r="I11" s="7">
        <f>IFERROR(IF(OR(F11="",G11=""),"",(G11-F11)/F11*100),"")</f>
        <v/>
      </c>
      <c r="J11" s="7">
        <f>IFERROR(IF(OR(D11="",H11=""),"",H11-D11),"")</f>
        <v/>
      </c>
      <c r="K11" s="8">
        <f>IF(AND(NOT(ISNUMBER(I11)),NOT(ISNUMBER(J11))),"",IF(OR(AND(ISNUMBER(I11),ABS(N(I11))&gt;TolV_pct),AND(ISNUMBER(J11),ABS(N(J11))&gt;TolAngle_deg)),"FAIL","PASS"))</f>
        <v/>
      </c>
      <c r="L11" s="5" t="n"/>
    </row>
    <row r="12">
      <c r="B12" s="14" t="n">
        <v>2</v>
      </c>
      <c r="C12" s="14" t="n">
        <v>30</v>
      </c>
      <c r="D12" s="14" t="n">
        <v>-120</v>
      </c>
      <c r="E12" s="5" t="inlineStr">
        <is>
          <t>L2 (VB)</t>
        </is>
      </c>
      <c r="F12" s="7">
        <f>IFERROR(C12*Ratio_VTmain,"")</f>
        <v/>
      </c>
      <c r="G12" s="14" t="n"/>
      <c r="H12" s="14" t="n"/>
      <c r="I12" s="7">
        <f>IFERROR(IF(OR(F12="",G12=""),"",(G12-F12)/F12*100),"")</f>
        <v/>
      </c>
      <c r="J12" s="7">
        <f>IFERROR(IF(OR(D12="",H12=""),"",H12-D12),"")</f>
        <v/>
      </c>
      <c r="K12" s="8">
        <f>IF(AND(NOT(ISNUMBER(I12)),NOT(ISNUMBER(J12))),"",IF(OR(AND(ISNUMBER(I12),ABS(N(I12))&gt;TolV_pct),AND(ISNUMBER(J12),ABS(N(J12))&gt;TolAngle_deg)),"FAIL","PASS"))</f>
        <v/>
      </c>
      <c r="L12" s="5" t="n"/>
    </row>
    <row r="13">
      <c r="B13" s="14" t="n">
        <v>2</v>
      </c>
      <c r="C13" s="14" t="n">
        <v>30</v>
      </c>
      <c r="D13" s="14" t="n">
        <v>120</v>
      </c>
      <c r="E13" s="5" t="inlineStr">
        <is>
          <t>L3 (VC)</t>
        </is>
      </c>
      <c r="F13" s="7">
        <f>IFERROR(C13*Ratio_VTmain,"")</f>
        <v/>
      </c>
      <c r="G13" s="14" t="n"/>
      <c r="H13" s="14" t="n"/>
      <c r="I13" s="7">
        <f>IFERROR(IF(OR(F13="",G13=""),"",(G13-F13)/F13*100),"")</f>
        <v/>
      </c>
      <c r="J13" s="7">
        <f>IFERROR(IF(OR(D13="",H13=""),"",H13-D13),"")</f>
        <v/>
      </c>
      <c r="K13" s="8">
        <f>IF(AND(NOT(ISNUMBER(I13)),NOT(ISNUMBER(J13))),"",IF(OR(AND(ISNUMBER(I13),ABS(N(I13))&gt;TolV_pct),AND(ISNUMBER(J13),ABS(N(J13))&gt;TolAngle_deg)),"FAIL","PASS"))</f>
        <v/>
      </c>
      <c r="L13" s="5" t="n"/>
    </row>
    <row r="15">
      <c r="B15" s="3" t="inlineStr">
        <is>
          <t>4.2 Neutral VT — Generator Neutral Voltage (VN)</t>
        </is>
      </c>
    </row>
    <row r="16">
      <c r="B16" s="6" t="inlineStr">
        <is>
          <t>Step</t>
        </is>
      </c>
      <c r="C16" s="6" t="inlineStr">
        <is>
          <t>Injected (sec)</t>
        </is>
      </c>
      <c r="D16" s="6" t="inlineStr">
        <is>
          <t>Inj Angle (°)</t>
        </is>
      </c>
      <c r="E16" s="6" t="inlineStr">
        <is>
          <t>Phase / Input</t>
        </is>
      </c>
      <c r="F16" s="6" t="inlineStr">
        <is>
          <t>Expected Primary</t>
        </is>
      </c>
      <c r="G16" s="6" t="inlineStr">
        <is>
          <t>Relay Primary Reported</t>
        </is>
      </c>
      <c r="H16" s="6" t="inlineStr">
        <is>
          <t>Relay Angle (°)</t>
        </is>
      </c>
      <c r="I16" s="6" t="inlineStr">
        <is>
          <t>Mag Err (%)</t>
        </is>
      </c>
      <c r="J16" s="6" t="inlineStr">
        <is>
          <t>Angle Err (°)</t>
        </is>
      </c>
      <c r="K16" s="6" t="inlineStr">
        <is>
          <t>P / F</t>
        </is>
      </c>
      <c r="L16" s="6" t="inlineStr">
        <is>
          <t>Notes</t>
        </is>
      </c>
    </row>
    <row r="17">
      <c r="B17" s="14" t="n">
        <v>1</v>
      </c>
      <c r="C17" s="14" t="n">
        <v>10</v>
      </c>
      <c r="D17" s="14" t="n">
        <v>0</v>
      </c>
      <c r="E17" s="5" t="inlineStr">
        <is>
          <t>VN</t>
        </is>
      </c>
      <c r="F17" s="7">
        <f>IFERROR(C17*Ratio_VTneut,"")</f>
        <v/>
      </c>
      <c r="G17" s="14" t="n"/>
      <c r="H17" s="14" t="n"/>
      <c r="I17" s="7">
        <f>IFERROR(IF(OR(F17="",G17=""),"",(G17-F17)/F17*100),"")</f>
        <v/>
      </c>
      <c r="J17" s="7">
        <f>IFERROR(IF(OR(D17="",H17=""),"",H17-D17),"")</f>
        <v/>
      </c>
      <c r="K17" s="8">
        <f>IF(AND(NOT(ISNUMBER(I17)),NOT(ISNUMBER(J17))),"",IF(OR(AND(ISNUMBER(I17),ABS(N(I17))&gt;TolV_pct),AND(ISNUMBER(J17),ABS(N(J17))&gt;TolAngle_deg)),"FAIL","PASS"))</f>
        <v/>
      </c>
      <c r="L17" s="5" t="n"/>
    </row>
    <row r="18">
      <c r="B18" s="14" t="n">
        <v>2</v>
      </c>
      <c r="C18" s="14" t="n">
        <v>30</v>
      </c>
      <c r="D18" s="14" t="n">
        <v>0</v>
      </c>
      <c r="E18" s="5" t="inlineStr">
        <is>
          <t>VN</t>
        </is>
      </c>
      <c r="F18" s="7">
        <f>IFERROR(C18*Ratio_VTneut,"")</f>
        <v/>
      </c>
      <c r="G18" s="14" t="n"/>
      <c r="H18" s="14" t="n"/>
      <c r="I18" s="7">
        <f>IFERROR(IF(OR(F18="",G18=""),"",(G18-F18)/F18*100),"")</f>
        <v/>
      </c>
      <c r="J18" s="7">
        <f>IFERROR(IF(OR(D18="",H18=""),"",H18-D18),"")</f>
        <v/>
      </c>
      <c r="K18" s="8">
        <f>IF(AND(NOT(ISNUMBER(I18)),NOT(ISNUMBER(J18))),"",IF(OR(AND(ISNUMBER(I18),ABS(N(I18))&gt;TolV_pct),AND(ISNUMBER(J18),ABS(N(J18))&gt;TolAngle_deg)),"FAIL","PASS"))</f>
        <v/>
      </c>
      <c r="L18" s="5" t="n"/>
    </row>
    <row r="19">
      <c r="B19" s="14" t="n">
        <v>3</v>
      </c>
      <c r="C19" s="14" t="n">
        <v>60</v>
      </c>
      <c r="D19" s="14" t="n">
        <v>0</v>
      </c>
      <c r="E19" s="5" t="inlineStr">
        <is>
          <t>VN</t>
        </is>
      </c>
      <c r="F19" s="7">
        <f>IFERROR(C19*Ratio_VTneut,"")</f>
        <v/>
      </c>
      <c r="G19" s="14" t="n"/>
      <c r="H19" s="14" t="n"/>
      <c r="I19" s="7">
        <f>IFERROR(IF(OR(F19="",G19=""),"",(G19-F19)/F19*100),"")</f>
        <v/>
      </c>
      <c r="J19" s="7">
        <f>IFERROR(IF(OR(D19="",H19=""),"",H19-D19),"")</f>
        <v/>
      </c>
      <c r="K19" s="8">
        <f>IF(AND(NOT(ISNUMBER(I19)),NOT(ISNUMBER(J19))),"",IF(OR(AND(ISNUMBER(I19),ABS(N(I19))&gt;TolV_pct),AND(ISNUMBER(J19),ABS(N(J19))&gt;TolAngle_deg)),"FAIL","PASS"))</f>
        <v/>
      </c>
      <c r="L19" s="5" t="n"/>
    </row>
    <row r="20">
      <c r="B20" s="14" t="n">
        <v>4</v>
      </c>
      <c r="C20" s="14" t="n">
        <v>100</v>
      </c>
      <c r="D20" s="14" t="n">
        <v>0</v>
      </c>
      <c r="E20" s="5" t="inlineStr">
        <is>
          <t>VN</t>
        </is>
      </c>
      <c r="F20" s="7">
        <f>IFERROR(C20*Ratio_VTneut,"")</f>
        <v/>
      </c>
      <c r="G20" s="14" t="n"/>
      <c r="H20" s="14" t="n"/>
      <c r="I20" s="7">
        <f>IFERROR(IF(OR(F20="",G20=""),"",(G20-F20)/F20*100),"")</f>
        <v/>
      </c>
      <c r="J20" s="7">
        <f>IFERROR(IF(OR(D20="",H20=""),"",H20-D20),"")</f>
        <v/>
      </c>
      <c r="K20" s="8">
        <f>IF(AND(NOT(ISNUMBER(I20)),NOT(ISNUMBER(J20))),"",IF(OR(AND(ISNUMBER(I20),ABS(N(I20))&gt;TolV_pct),AND(ISNUMBER(J20),ABS(N(J20))&gt;TolAngle_deg)),"FAIL","PASS"))</f>
        <v/>
      </c>
      <c r="L20" s="5" t="n"/>
    </row>
    <row r="22">
      <c r="B22" s="3" t="inlineStr">
        <is>
          <t>4.3 Generator Terminal CT — Three-Phase Current Injection</t>
        </is>
      </c>
    </row>
    <row r="23">
      <c r="B23" s="6" t="inlineStr">
        <is>
          <t>Step</t>
        </is>
      </c>
      <c r="C23" s="6" t="inlineStr">
        <is>
          <t>Injected (sec)</t>
        </is>
      </c>
      <c r="D23" s="6" t="inlineStr">
        <is>
          <t>Inj Angle (°)</t>
        </is>
      </c>
      <c r="E23" s="6" t="inlineStr">
        <is>
          <t>Phase / Input</t>
        </is>
      </c>
      <c r="F23" s="6" t="inlineStr">
        <is>
          <t>Expected Primary</t>
        </is>
      </c>
      <c r="G23" s="6" t="inlineStr">
        <is>
          <t>Relay Primary Reported</t>
        </is>
      </c>
      <c r="H23" s="6" t="inlineStr">
        <is>
          <t>Relay Angle (°)</t>
        </is>
      </c>
      <c r="I23" s="6" t="inlineStr">
        <is>
          <t>Mag Err (%)</t>
        </is>
      </c>
      <c r="J23" s="6" t="inlineStr">
        <is>
          <t>Angle Err (°)</t>
        </is>
      </c>
      <c r="K23" s="6" t="inlineStr">
        <is>
          <t>P / F</t>
        </is>
      </c>
      <c r="L23" s="6" t="inlineStr">
        <is>
          <t>Notes</t>
        </is>
      </c>
    </row>
    <row r="24">
      <c r="B24" s="14" t="n">
        <v>1</v>
      </c>
      <c r="C24" s="14" t="n">
        <v>1</v>
      </c>
      <c r="D24" s="14" t="n">
        <v>0</v>
      </c>
      <c r="E24" s="5" t="inlineStr">
        <is>
          <t>L1 terminal</t>
        </is>
      </c>
      <c r="F24" s="7">
        <f>IFERROR(C24*Ratio_CTterm,"")</f>
        <v/>
      </c>
      <c r="G24" s="14" t="n"/>
      <c r="H24" s="14" t="n"/>
      <c r="I24" s="7">
        <f>IFERROR(IF(OR(F24="",G24=""),"",(G24-F24)/F24*100),"")</f>
        <v/>
      </c>
      <c r="J24" s="7">
        <f>IFERROR(IF(OR(D24="",H24=""),"",H24-D24),"")</f>
        <v/>
      </c>
      <c r="K24" s="8">
        <f>IF(AND(NOT(ISNUMBER(I24)),NOT(ISNUMBER(J24))),"",IF(OR(AND(ISNUMBER(I24),ABS(N(I24))&gt;TolI_pct),AND(ISNUMBER(J24),ABS(N(J24))&gt;TolAngle_deg)),"FAIL","PASS"))</f>
        <v/>
      </c>
      <c r="L24" s="5" t="n"/>
    </row>
    <row r="25">
      <c r="B25" s="14" t="n">
        <v>1</v>
      </c>
      <c r="C25" s="14" t="n">
        <v>1</v>
      </c>
      <c r="D25" s="14" t="n">
        <v>-120</v>
      </c>
      <c r="E25" s="5" t="inlineStr">
        <is>
          <t>L2 terminal</t>
        </is>
      </c>
      <c r="F25" s="7">
        <f>IFERROR(C25*Ratio_CTterm,"")</f>
        <v/>
      </c>
      <c r="G25" s="14" t="n"/>
      <c r="H25" s="14" t="n"/>
      <c r="I25" s="7">
        <f>IFERROR(IF(OR(F25="",G25=""),"",(G25-F25)/F25*100),"")</f>
        <v/>
      </c>
      <c r="J25" s="7">
        <f>IFERROR(IF(OR(D25="",H25=""),"",H25-D25),"")</f>
        <v/>
      </c>
      <c r="K25" s="8">
        <f>IF(AND(NOT(ISNUMBER(I25)),NOT(ISNUMBER(J25))),"",IF(OR(AND(ISNUMBER(I25),ABS(N(I25))&gt;TolI_pct),AND(ISNUMBER(J25),ABS(N(J25))&gt;TolAngle_deg)),"FAIL","PASS"))</f>
        <v/>
      </c>
      <c r="L25" s="5" t="n"/>
    </row>
    <row r="26">
      <c r="B26" s="14" t="n">
        <v>1</v>
      </c>
      <c r="C26" s="14" t="n">
        <v>1</v>
      </c>
      <c r="D26" s="14" t="n">
        <v>120</v>
      </c>
      <c r="E26" s="5" t="inlineStr">
        <is>
          <t>L3 terminal</t>
        </is>
      </c>
      <c r="F26" s="7">
        <f>IFERROR(C26*Ratio_CTterm,"")</f>
        <v/>
      </c>
      <c r="G26" s="14" t="n"/>
      <c r="H26" s="14" t="n"/>
      <c r="I26" s="7">
        <f>IFERROR(IF(OR(F26="",G26=""),"",(G26-F26)/F26*100),"")</f>
        <v/>
      </c>
      <c r="J26" s="7">
        <f>IFERROR(IF(OR(D26="",H26=""),"",H26-D26),"")</f>
        <v/>
      </c>
      <c r="K26" s="8">
        <f>IF(AND(NOT(ISNUMBER(I26)),NOT(ISNUMBER(J26))),"",IF(OR(AND(ISNUMBER(I26),ABS(N(I26))&gt;TolI_pct),AND(ISNUMBER(J26),ABS(N(J26))&gt;TolAngle_deg)),"FAIL","PASS"))</f>
        <v/>
      </c>
      <c r="L26" s="5" t="n"/>
    </row>
    <row r="27">
      <c r="B27" s="14" t="n">
        <v>2</v>
      </c>
      <c r="C27" s="14" t="n">
        <v>5</v>
      </c>
      <c r="D27" s="14" t="n">
        <v>0</v>
      </c>
      <c r="E27" s="5" t="inlineStr">
        <is>
          <t>L1 terminal</t>
        </is>
      </c>
      <c r="F27" s="7">
        <f>IFERROR(C27*Ratio_CTterm,"")</f>
        <v/>
      </c>
      <c r="G27" s="14" t="n"/>
      <c r="H27" s="14" t="n"/>
      <c r="I27" s="7">
        <f>IFERROR(IF(OR(F27="",G27=""),"",(G27-F27)/F27*100),"")</f>
        <v/>
      </c>
      <c r="J27" s="7">
        <f>IFERROR(IF(OR(D27="",H27=""),"",H27-D27),"")</f>
        <v/>
      </c>
      <c r="K27" s="8">
        <f>IF(AND(NOT(ISNUMBER(I27)),NOT(ISNUMBER(J27))),"",IF(OR(AND(ISNUMBER(I27),ABS(N(I27))&gt;TolI_pct),AND(ISNUMBER(J27),ABS(N(J27))&gt;TolAngle_deg)),"FAIL","PASS"))</f>
        <v/>
      </c>
      <c r="L27" s="5" t="n"/>
    </row>
    <row r="28">
      <c r="B28" s="14" t="n">
        <v>2</v>
      </c>
      <c r="C28" s="14" t="n">
        <v>5</v>
      </c>
      <c r="D28" s="14" t="n">
        <v>-120</v>
      </c>
      <c r="E28" s="5" t="inlineStr">
        <is>
          <t>L2 terminal</t>
        </is>
      </c>
      <c r="F28" s="7">
        <f>IFERROR(C28*Ratio_CTterm,"")</f>
        <v/>
      </c>
      <c r="G28" s="14" t="n"/>
      <c r="H28" s="14" t="n"/>
      <c r="I28" s="7">
        <f>IFERROR(IF(OR(F28="",G28=""),"",(G28-F28)/F28*100),"")</f>
        <v/>
      </c>
      <c r="J28" s="7">
        <f>IFERROR(IF(OR(D28="",H28=""),"",H28-D28),"")</f>
        <v/>
      </c>
      <c r="K28" s="8">
        <f>IF(AND(NOT(ISNUMBER(I28)),NOT(ISNUMBER(J28))),"",IF(OR(AND(ISNUMBER(I28),ABS(N(I28))&gt;TolI_pct),AND(ISNUMBER(J28),ABS(N(J28))&gt;TolAngle_deg)),"FAIL","PASS"))</f>
        <v/>
      </c>
      <c r="L28" s="5" t="n"/>
    </row>
    <row r="29">
      <c r="B29" s="14" t="n">
        <v>2</v>
      </c>
      <c r="C29" s="14" t="n">
        <v>5</v>
      </c>
      <c r="D29" s="14" t="n">
        <v>120</v>
      </c>
      <c r="E29" s="5" t="inlineStr">
        <is>
          <t>L3 terminal</t>
        </is>
      </c>
      <c r="F29" s="7">
        <f>IFERROR(C29*Ratio_CTterm,"")</f>
        <v/>
      </c>
      <c r="G29" s="14" t="n"/>
      <c r="H29" s="14" t="n"/>
      <c r="I29" s="7">
        <f>IFERROR(IF(OR(F29="",G29=""),"",(G29-F29)/F29*100),"")</f>
        <v/>
      </c>
      <c r="J29" s="7">
        <f>IFERROR(IF(OR(D29="",H29=""),"",H29-D29),"")</f>
        <v/>
      </c>
      <c r="K29" s="8">
        <f>IF(AND(NOT(ISNUMBER(I29)),NOT(ISNUMBER(J29))),"",IF(OR(AND(ISNUMBER(I29),ABS(N(I29))&gt;TolI_pct),AND(ISNUMBER(J29),ABS(N(J29))&gt;TolAngle_deg)),"FAIL","PASS"))</f>
        <v/>
      </c>
      <c r="L29" s="5" t="n"/>
    </row>
    <row r="31">
      <c r="B31" s="3" t="inlineStr">
        <is>
          <t>4.4 Generator Neutral CT — Three-Phase Current Injection</t>
        </is>
      </c>
    </row>
    <row r="32">
      <c r="B32" s="6" t="inlineStr">
        <is>
          <t>Step</t>
        </is>
      </c>
      <c r="C32" s="6" t="inlineStr">
        <is>
          <t>Injected (sec)</t>
        </is>
      </c>
      <c r="D32" s="6" t="inlineStr">
        <is>
          <t>Inj Angle (°)</t>
        </is>
      </c>
      <c r="E32" s="6" t="inlineStr">
        <is>
          <t>Phase / Input</t>
        </is>
      </c>
      <c r="F32" s="6" t="inlineStr">
        <is>
          <t>Expected Primary</t>
        </is>
      </c>
      <c r="G32" s="6" t="inlineStr">
        <is>
          <t>Relay Primary Reported</t>
        </is>
      </c>
      <c r="H32" s="6" t="inlineStr">
        <is>
          <t>Relay Angle (°)</t>
        </is>
      </c>
      <c r="I32" s="6" t="inlineStr">
        <is>
          <t>Mag Err (%)</t>
        </is>
      </c>
      <c r="J32" s="6" t="inlineStr">
        <is>
          <t>Angle Err (°)</t>
        </is>
      </c>
      <c r="K32" s="6" t="inlineStr">
        <is>
          <t>P / F</t>
        </is>
      </c>
      <c r="L32" s="6" t="inlineStr">
        <is>
          <t>Notes</t>
        </is>
      </c>
    </row>
    <row r="33">
      <c r="B33" s="14" t="n">
        <v>1</v>
      </c>
      <c r="C33" s="14" t="n">
        <v>1</v>
      </c>
      <c r="D33" s="14" t="n">
        <v>0</v>
      </c>
      <c r="E33" s="5" t="inlineStr">
        <is>
          <t>L1 neutral</t>
        </is>
      </c>
      <c r="F33" s="7">
        <f>IFERROR(C33*Ratio_CTneut,"")</f>
        <v/>
      </c>
      <c r="G33" s="14" t="n"/>
      <c r="H33" s="14" t="n"/>
      <c r="I33" s="7">
        <f>IFERROR(IF(OR(F33="",G33=""),"",(G33-F33)/F33*100),"")</f>
        <v/>
      </c>
      <c r="J33" s="7">
        <f>IFERROR(IF(OR(D33="",H33=""),"",H33-D33),"")</f>
        <v/>
      </c>
      <c r="K33" s="8">
        <f>IF(AND(NOT(ISNUMBER(I33)),NOT(ISNUMBER(J33))),"",IF(OR(AND(ISNUMBER(I33),ABS(N(I33))&gt;TolI_pct),AND(ISNUMBER(J33),ABS(N(J33))&gt;TolAngle_deg)),"FAIL","PASS"))</f>
        <v/>
      </c>
      <c r="L33" s="5" t="n"/>
    </row>
    <row r="34">
      <c r="B34" s="14" t="n">
        <v>1</v>
      </c>
      <c r="C34" s="14" t="n">
        <v>1</v>
      </c>
      <c r="D34" s="14" t="n">
        <v>-120</v>
      </c>
      <c r="E34" s="5" t="inlineStr">
        <is>
          <t>L2 neutral</t>
        </is>
      </c>
      <c r="F34" s="7">
        <f>IFERROR(C34*Ratio_CTneut,"")</f>
        <v/>
      </c>
      <c r="G34" s="14" t="n"/>
      <c r="H34" s="14" t="n"/>
      <c r="I34" s="7">
        <f>IFERROR(IF(OR(F34="",G34=""),"",(G34-F34)/F34*100),"")</f>
        <v/>
      </c>
      <c r="J34" s="7">
        <f>IFERROR(IF(OR(D34="",H34=""),"",H34-D34),"")</f>
        <v/>
      </c>
      <c r="K34" s="8">
        <f>IF(AND(NOT(ISNUMBER(I34)),NOT(ISNUMBER(J34))),"",IF(OR(AND(ISNUMBER(I34),ABS(N(I34))&gt;TolI_pct),AND(ISNUMBER(J34),ABS(N(J34))&gt;TolAngle_deg)),"FAIL","PASS"))</f>
        <v/>
      </c>
      <c r="L34" s="5" t="n"/>
    </row>
    <row r="35">
      <c r="B35" s="14" t="n">
        <v>1</v>
      </c>
      <c r="C35" s="14" t="n">
        <v>1</v>
      </c>
      <c r="D35" s="14" t="n">
        <v>120</v>
      </c>
      <c r="E35" s="5" t="inlineStr">
        <is>
          <t>L3 neutral</t>
        </is>
      </c>
      <c r="F35" s="7">
        <f>IFERROR(C35*Ratio_CTneut,"")</f>
        <v/>
      </c>
      <c r="G35" s="14" t="n"/>
      <c r="H35" s="14" t="n"/>
      <c r="I35" s="7">
        <f>IFERROR(IF(OR(F35="",G35=""),"",(G35-F35)/F35*100),"")</f>
        <v/>
      </c>
      <c r="J35" s="7">
        <f>IFERROR(IF(OR(D35="",H35=""),"",H35-D35),"")</f>
        <v/>
      </c>
      <c r="K35" s="8">
        <f>IF(AND(NOT(ISNUMBER(I35)),NOT(ISNUMBER(J35))),"",IF(OR(AND(ISNUMBER(I35),ABS(N(I35))&gt;TolI_pct),AND(ISNUMBER(J35),ABS(N(J35))&gt;TolAngle_deg)),"FAIL","PASS"))</f>
        <v/>
      </c>
      <c r="L35" s="5" t="n"/>
    </row>
    <row r="36">
      <c r="B36" s="14" t="n">
        <v>2</v>
      </c>
      <c r="C36" s="14" t="n">
        <v>5</v>
      </c>
      <c r="D36" s="14" t="n">
        <v>0</v>
      </c>
      <c r="E36" s="5" t="inlineStr">
        <is>
          <t>L1 neutral</t>
        </is>
      </c>
      <c r="F36" s="7">
        <f>IFERROR(C36*Ratio_CTneut,"")</f>
        <v/>
      </c>
      <c r="G36" s="14" t="n"/>
      <c r="H36" s="14" t="n"/>
      <c r="I36" s="7">
        <f>IFERROR(IF(OR(F36="",G36=""),"",(G36-F36)/F36*100),"")</f>
        <v/>
      </c>
      <c r="J36" s="7">
        <f>IFERROR(IF(OR(D36="",H36=""),"",H36-D36),"")</f>
        <v/>
      </c>
      <c r="K36" s="8">
        <f>IF(AND(NOT(ISNUMBER(I36)),NOT(ISNUMBER(J36))),"",IF(OR(AND(ISNUMBER(I36),ABS(N(I36))&gt;TolI_pct),AND(ISNUMBER(J36),ABS(N(J36))&gt;TolAngle_deg)),"FAIL","PASS"))</f>
        <v/>
      </c>
      <c r="L36" s="5" t="n"/>
    </row>
    <row r="37">
      <c r="B37" s="14" t="n">
        <v>2</v>
      </c>
      <c r="C37" s="14" t="n">
        <v>5</v>
      </c>
      <c r="D37" s="14" t="n">
        <v>-120</v>
      </c>
      <c r="E37" s="5" t="inlineStr">
        <is>
          <t>L2 neutral</t>
        </is>
      </c>
      <c r="F37" s="7">
        <f>IFERROR(C37*Ratio_CTneut,"")</f>
        <v/>
      </c>
      <c r="G37" s="14" t="n"/>
      <c r="H37" s="14" t="n"/>
      <c r="I37" s="7">
        <f>IFERROR(IF(OR(F37="",G37=""),"",(G37-F37)/F37*100),"")</f>
        <v/>
      </c>
      <c r="J37" s="7">
        <f>IFERROR(IF(OR(D37="",H37=""),"",H37-D37),"")</f>
        <v/>
      </c>
      <c r="K37" s="8">
        <f>IF(AND(NOT(ISNUMBER(I37)),NOT(ISNUMBER(J37))),"",IF(OR(AND(ISNUMBER(I37),ABS(N(I37))&gt;TolI_pct),AND(ISNUMBER(J37),ABS(N(J37))&gt;TolAngle_deg)),"FAIL","PASS"))</f>
        <v/>
      </c>
      <c r="L37" s="5" t="n"/>
    </row>
    <row r="38">
      <c r="B38" s="14" t="n">
        <v>2</v>
      </c>
      <c r="C38" s="14" t="n">
        <v>5</v>
      </c>
      <c r="D38" s="14" t="n">
        <v>120</v>
      </c>
      <c r="E38" s="5" t="inlineStr">
        <is>
          <t>L3 neutral</t>
        </is>
      </c>
      <c r="F38" s="7">
        <f>IFERROR(C38*Ratio_CTneut,"")</f>
        <v/>
      </c>
      <c r="G38" s="14" t="n"/>
      <c r="H38" s="14" t="n"/>
      <c r="I38" s="7">
        <f>IFERROR(IF(OR(F38="",G38=""),"",(G38-F38)/F38*100),"")</f>
        <v/>
      </c>
      <c r="J38" s="7">
        <f>IFERROR(IF(OR(D38="",H38=""),"",H38-D38),"")</f>
        <v/>
      </c>
      <c r="K38" s="8">
        <f>IF(AND(NOT(ISNUMBER(I38)),NOT(ISNUMBER(J38))),"",IF(OR(AND(ISNUMBER(I38),ABS(N(I38))&gt;TolI_pct),AND(ISNUMBER(J38),ABS(N(J38))&gt;TolAngle_deg)),"FAIL","PASS"))</f>
        <v/>
      </c>
      <c r="L38" s="5" t="n"/>
    </row>
    <row r="40">
      <c r="B40" s="3" t="inlineStr">
        <is>
          <t>4.5 87G Differential Stability (Through-Current Injection)</t>
        </is>
      </c>
    </row>
    <row r="41">
      <c r="B41" s="6" t="inlineStr">
        <is>
          <t>Phase</t>
        </is>
      </c>
      <c r="C41" s="6" t="inlineStr">
        <is>
          <t>Terminal I (A pri)</t>
        </is>
      </c>
      <c r="D41" s="6" t="inlineStr">
        <is>
          <t>Neutral I (A pri)</t>
        </is>
      </c>
      <c r="E41" s="6" t="inlineStr">
        <is>
          <t>Id operating (A)</t>
        </is>
      </c>
      <c r="F41" s="6" t="inlineStr">
        <is>
          <t>Ibias (A)</t>
        </is>
      </c>
    </row>
    <row r="42">
      <c r="B42" s="8" t="inlineStr">
        <is>
          <t>L1</t>
        </is>
      </c>
      <c r="C42" s="14" t="n"/>
      <c r="D42" s="14" t="n"/>
      <c r="E42" s="14" t="n"/>
      <c r="F42" s="14" t="n"/>
    </row>
    <row r="43">
      <c r="B43" s="8" t="inlineStr">
        <is>
          <t>L2</t>
        </is>
      </c>
      <c r="C43" s="14" t="n"/>
      <c r="D43" s="14" t="n"/>
      <c r="E43" s="14" t="n"/>
      <c r="F43" s="14" t="n"/>
    </row>
    <row r="44">
      <c r="B44" s="8" t="inlineStr">
        <is>
          <t>L3</t>
        </is>
      </c>
      <c r="C44" s="14" t="n"/>
      <c r="D44" s="14" t="n"/>
      <c r="E44" s="14" t="n"/>
      <c r="F44" s="14" t="n"/>
    </row>
  </sheetData>
  <conditionalFormatting sqref="K8:K13">
    <cfRule type="cellIs" priority="1" operator="equal" dxfId="0">
      <formula>"PASS"</formula>
    </cfRule>
    <cfRule type="cellIs" priority="2" operator="equal" dxfId="1">
      <formula>"FAIL"</formula>
    </cfRule>
  </conditionalFormatting>
  <conditionalFormatting sqref="K17:K20">
    <cfRule type="cellIs" priority="3" operator="equal" dxfId="0">
      <formula>"PASS"</formula>
    </cfRule>
    <cfRule type="cellIs" priority="4" operator="equal" dxfId="1">
      <formula>"FAIL"</formula>
    </cfRule>
  </conditionalFormatting>
  <conditionalFormatting sqref="K24:K29">
    <cfRule type="cellIs" priority="5" operator="equal" dxfId="0">
      <formula>"PASS"</formula>
    </cfRule>
    <cfRule type="cellIs" priority="6" operator="equal" dxfId="1">
      <formula>"FAIL"</formula>
    </cfRule>
  </conditionalFormatting>
  <conditionalFormatting sqref="K33:K38">
    <cfRule type="cellIs" priority="7" operator="equal" dxfId="0">
      <formula>"PASS"</formula>
    </cfRule>
    <cfRule type="cellIs" priority="8" operator="equal" dxfId="1">
      <formula>"FAIL"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4E79"/>
    <outlinePr summaryBelow="1" summaryRight="1"/>
    <pageSetUpPr/>
  </sheetPr>
  <dimension ref="B2:I2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" customWidth="1" min="2" max="2"/>
    <col width="36" customWidth="1" min="3" max="3"/>
    <col width="14" customWidth="1" min="4" max="4"/>
    <col width="14" customWidth="1" min="5" max="5"/>
    <col width="16" customWidth="1" min="6" max="6"/>
    <col width="10" customWidth="1" min="7" max="7"/>
    <col width="24" customWidth="1" min="8" max="8"/>
    <col width="10" customWidth="1" min="9" max="9"/>
  </cols>
  <sheetData>
    <row r="2">
      <c r="B2" s="1" t="inlineStr">
        <is>
          <t>Binary Input / Output Functional Tests (SMBI / SMBO)</t>
        </is>
      </c>
    </row>
    <row r="4">
      <c r="B4" s="3" t="inlineStr">
        <is>
          <t>5.1 Binary Inputs (SMBI)</t>
        </is>
      </c>
    </row>
    <row r="5">
      <c r="B5" s="6" t="inlineStr">
        <is>
          <t>Input</t>
        </is>
      </c>
      <c r="C5" s="6" t="inlineStr">
        <is>
          <t>Description / Source</t>
        </is>
      </c>
      <c r="D5" s="6" t="inlineStr">
        <is>
          <t>Pickup V (V)</t>
        </is>
      </c>
      <c r="E5" s="6" t="inlineStr">
        <is>
          <t>Asserted? (Y/N)</t>
        </is>
      </c>
      <c r="F5" s="6" t="inlineStr">
        <is>
          <t>Event captured? (Y/N)</t>
        </is>
      </c>
      <c r="G5" s="6" t="inlineStr">
        <is>
          <t>Status</t>
        </is>
      </c>
      <c r="H5" s="6" t="inlineStr">
        <is>
          <t>Notes</t>
        </is>
      </c>
      <c r="I5" s="6" t="inlineStr">
        <is>
          <t>Initials</t>
        </is>
      </c>
    </row>
    <row r="6">
      <c r="B6" s="15" t="inlineStr">
        <is>
          <t>BI01</t>
        </is>
      </c>
      <c r="C6" s="5" t="inlineStr">
        <is>
          <t>86G lockout relay asserted</t>
        </is>
      </c>
      <c r="D6" s="5" t="n"/>
      <c r="E6" s="5" t="n"/>
      <c r="F6" s="5" t="n"/>
      <c r="G6" s="5" t="n"/>
      <c r="H6" s="5" t="n"/>
      <c r="I6" s="5" t="n"/>
    </row>
    <row r="7">
      <c r="B7" s="15" t="inlineStr">
        <is>
          <t>BI02</t>
        </is>
      </c>
      <c r="C7" s="5" t="inlineStr">
        <is>
          <t>Plant available / off-line</t>
        </is>
      </c>
      <c r="D7" s="5" t="n"/>
      <c r="E7" s="5" t="n"/>
      <c r="F7" s="5" t="n"/>
      <c r="G7" s="5" t="n"/>
      <c r="H7" s="5" t="n"/>
      <c r="I7" s="5" t="n"/>
    </row>
    <row r="8">
      <c r="B8" s="15" t="inlineStr">
        <is>
          <t>BI03</t>
        </is>
      </c>
      <c r="C8" s="5" t="inlineStr">
        <is>
          <t>Generator breaker open</t>
        </is>
      </c>
      <c r="D8" s="5" t="n"/>
      <c r="E8" s="5" t="n"/>
      <c r="F8" s="5" t="n"/>
      <c r="G8" s="5" t="n"/>
      <c r="H8" s="5" t="n"/>
      <c r="I8" s="5" t="n"/>
    </row>
    <row r="9">
      <c r="B9" s="15" t="inlineStr">
        <is>
          <t>BI04</t>
        </is>
      </c>
      <c r="C9" s="5" t="inlineStr">
        <is>
          <t>Exciter breaker open</t>
        </is>
      </c>
      <c r="D9" s="5" t="n"/>
      <c r="E9" s="5" t="n"/>
      <c r="F9" s="5" t="n"/>
      <c r="G9" s="5" t="n"/>
      <c r="H9" s="5" t="n"/>
      <c r="I9" s="5" t="n"/>
    </row>
    <row r="10">
      <c r="B10" s="15" t="inlineStr">
        <is>
          <t>BI05</t>
        </is>
      </c>
      <c r="C10" s="5" t="inlineStr">
        <is>
          <t>Test mode enable</t>
        </is>
      </c>
      <c r="D10" s="5" t="n"/>
      <c r="E10" s="5" t="n"/>
      <c r="F10" s="5" t="n"/>
      <c r="G10" s="5" t="n"/>
      <c r="H10" s="5" t="n"/>
      <c r="I10" s="5" t="n"/>
    </row>
    <row r="11">
      <c r="B11" s="15" t="inlineStr">
        <is>
          <t>BI06</t>
        </is>
      </c>
      <c r="C11" s="5" t="inlineStr">
        <is>
          <t>REF695 block (if applied)</t>
        </is>
      </c>
      <c r="D11" s="5" t="n"/>
      <c r="E11" s="5" t="n"/>
      <c r="F11" s="5" t="n"/>
      <c r="G11" s="5" t="n"/>
      <c r="H11" s="5" t="n"/>
      <c r="I11" s="5" t="n"/>
    </row>
    <row r="12">
      <c r="B12" s="15" t="inlineStr">
        <is>
          <t>BI07</t>
        </is>
      </c>
      <c r="C12" s="5" t="n"/>
      <c r="D12" s="5" t="n"/>
      <c r="E12" s="5" t="n"/>
      <c r="F12" s="5" t="n"/>
      <c r="G12" s="5" t="n"/>
      <c r="H12" s="5" t="n"/>
      <c r="I12" s="5" t="n"/>
    </row>
    <row r="13">
      <c r="B13" s="15" t="inlineStr">
        <is>
          <t>BI08</t>
        </is>
      </c>
      <c r="C13" s="5" t="n"/>
      <c r="D13" s="5" t="n"/>
      <c r="E13" s="5" t="n"/>
      <c r="F13" s="5" t="n"/>
      <c r="G13" s="5" t="n"/>
      <c r="H13" s="5" t="n"/>
      <c r="I13" s="5" t="n"/>
    </row>
    <row r="16">
      <c r="B16" s="3" t="inlineStr">
        <is>
          <t>5.2 Binary Outputs (SMBO)</t>
        </is>
      </c>
    </row>
    <row r="17">
      <c r="B17" s="6" t="inlineStr">
        <is>
          <t>Output</t>
        </is>
      </c>
      <c r="C17" s="6" t="inlineStr">
        <is>
          <t>Driven by / Function</t>
        </is>
      </c>
      <c r="D17" s="6" t="inlineStr">
        <is>
          <t>Force method</t>
        </is>
      </c>
      <c r="E17" s="6" t="inlineStr">
        <is>
          <t>Continuity (Y/N)</t>
        </is>
      </c>
      <c r="F17" s="6" t="inlineStr">
        <is>
          <t>Operates target (Y/N)</t>
        </is>
      </c>
      <c r="G17" s="6" t="inlineStr">
        <is>
          <t>Status</t>
        </is>
      </c>
      <c r="H17" s="6" t="inlineStr">
        <is>
          <t>Notes</t>
        </is>
      </c>
      <c r="I17" s="6" t="inlineStr">
        <is>
          <t>Initials</t>
        </is>
      </c>
    </row>
    <row r="18">
      <c r="B18" s="15" t="inlineStr">
        <is>
          <t>BO01</t>
        </is>
      </c>
      <c r="C18" s="5" t="inlineStr">
        <is>
          <t>Trip Generator Breaker</t>
        </is>
      </c>
      <c r="D18" s="5" t="inlineStr">
        <is>
          <t>PCM600 force</t>
        </is>
      </c>
      <c r="E18" s="5" t="n"/>
      <c r="F18" s="5" t="n"/>
      <c r="G18" s="5" t="n"/>
      <c r="H18" s="5" t="n"/>
      <c r="I18" s="5" t="n"/>
    </row>
    <row r="19">
      <c r="B19" s="15" t="inlineStr">
        <is>
          <t>BO02</t>
        </is>
      </c>
      <c r="C19" s="5" t="inlineStr">
        <is>
          <t>Trip Exciter Breaker (40)</t>
        </is>
      </c>
      <c r="D19" s="5" t="inlineStr">
        <is>
          <t>PCM600 force</t>
        </is>
      </c>
      <c r="E19" s="5" t="n"/>
      <c r="F19" s="5" t="n"/>
      <c r="G19" s="5" t="n"/>
      <c r="H19" s="5" t="n"/>
      <c r="I19" s="5" t="n"/>
    </row>
    <row r="20">
      <c r="B20" s="15" t="inlineStr">
        <is>
          <t>BO03</t>
        </is>
      </c>
      <c r="C20" s="5" t="inlineStr">
        <is>
          <t>Trip &amp; Lockout 86G</t>
        </is>
      </c>
      <c r="D20" s="5" t="inlineStr">
        <is>
          <t>PCM600 force</t>
        </is>
      </c>
      <c r="E20" s="5" t="n"/>
      <c r="F20" s="5" t="n"/>
      <c r="G20" s="5" t="n"/>
      <c r="H20" s="5" t="n"/>
      <c r="I20" s="5" t="n"/>
    </row>
    <row r="21">
      <c r="B21" s="15" t="inlineStr">
        <is>
          <t>BO04</t>
        </is>
      </c>
      <c r="C21" s="5" t="inlineStr">
        <is>
          <t>Alarm</t>
        </is>
      </c>
      <c r="D21" s="5" t="inlineStr">
        <is>
          <t>PCM600 force</t>
        </is>
      </c>
      <c r="E21" s="5" t="n"/>
      <c r="F21" s="5" t="n"/>
      <c r="G21" s="5" t="n"/>
      <c r="H21" s="5" t="n"/>
      <c r="I21" s="5" t="n"/>
    </row>
    <row r="22">
      <c r="B22" s="15" t="inlineStr">
        <is>
          <t>BO05</t>
        </is>
      </c>
      <c r="C22" s="5" t="inlineStr">
        <is>
          <t>INTERNAL FAIL (INTERRSIG FAIL)</t>
        </is>
      </c>
      <c r="D22" s="5" t="inlineStr">
        <is>
          <t>PCM600 force</t>
        </is>
      </c>
      <c r="E22" s="5" t="n"/>
      <c r="F22" s="5" t="n"/>
      <c r="G22" s="5" t="n"/>
      <c r="H22" s="5" t="n"/>
      <c r="I22" s="5" t="n"/>
    </row>
    <row r="23">
      <c r="B23" s="15" t="inlineStr">
        <is>
          <t>BO06</t>
        </is>
      </c>
      <c r="C23" s="5" t="n"/>
      <c r="D23" s="5" t="inlineStr">
        <is>
          <t>PCM600 force</t>
        </is>
      </c>
      <c r="E23" s="5" t="n"/>
      <c r="F23" s="5" t="n"/>
      <c r="G23" s="5" t="n"/>
      <c r="H23" s="5" t="n"/>
      <c r="I23" s="5" t="n"/>
    </row>
    <row r="24">
      <c r="B24" s="15" t="inlineStr">
        <is>
          <t>BO07</t>
        </is>
      </c>
      <c r="C24" s="5" t="n"/>
      <c r="D24" s="5" t="inlineStr">
        <is>
          <t>PCM600 force</t>
        </is>
      </c>
      <c r="E24" s="5" t="n"/>
      <c r="F24" s="5" t="n"/>
      <c r="G24" s="5" t="n"/>
      <c r="H24" s="5" t="n"/>
      <c r="I24" s="5" t="n"/>
    </row>
    <row r="25">
      <c r="B25" s="15" t="inlineStr">
        <is>
          <t>BO08</t>
        </is>
      </c>
      <c r="C25" s="5" t="n"/>
      <c r="D25" s="5" t="inlineStr">
        <is>
          <t>PCM600 force</t>
        </is>
      </c>
      <c r="E25" s="5" t="n"/>
      <c r="F25" s="5" t="n"/>
      <c r="G25" s="5" t="n"/>
      <c r="H25" s="5" t="n"/>
      <c r="I25" s="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4E79"/>
    <outlinePr summaryBelow="1" summaryRight="1"/>
    <pageSetUpPr/>
  </sheetPr>
  <dimension ref="B2:J3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9" customWidth="1" min="2" max="2"/>
    <col width="12" customWidth="1" min="3" max="3"/>
    <col width="16" customWidth="1" min="4" max="4"/>
    <col width="40" customWidth="1" min="5" max="5"/>
    <col width="12" customWidth="1" min="6" max="6"/>
    <col width="16" customWidth="1" min="7" max="7"/>
    <col width="16" customWidth="1" min="8" max="8"/>
    <col width="8" customWidth="1" min="9" max="9"/>
    <col width="22" customWidth="1" min="10" max="10"/>
  </cols>
  <sheetData>
    <row r="2">
      <c r="B2" s="1" t="inlineStr">
        <is>
          <t>Protection Element Tracker</t>
        </is>
      </c>
    </row>
    <row r="5">
      <c r="B5" s="6" t="inlineStr">
        <is>
          <t>ANSI</t>
        </is>
      </c>
      <c r="C5" s="6" t="inlineStr">
        <is>
          <t>ABB Function</t>
        </is>
      </c>
      <c r="D5" s="6" t="inlineStr">
        <is>
          <t>IEC 61850 ID</t>
        </is>
      </c>
      <c r="E5" s="6" t="inlineStr">
        <is>
          <t>Description</t>
        </is>
      </c>
      <c r="F5" s="6" t="inlineStr">
        <is>
          <t>Enabled? (Y/N)</t>
        </is>
      </c>
      <c r="G5" s="6" t="inlineStr">
        <is>
          <t>Last tested (date)</t>
        </is>
      </c>
      <c r="H5" s="6" t="inlineStr">
        <is>
          <t>Test this visit? (Y/N)</t>
        </is>
      </c>
      <c r="I5" s="6" t="inlineStr">
        <is>
          <t>Result</t>
        </is>
      </c>
      <c r="J5" s="6" t="inlineStr">
        <is>
          <t>Notes</t>
        </is>
      </c>
    </row>
    <row r="6">
      <c r="B6" s="15" t="inlineStr">
        <is>
          <t>87G</t>
        </is>
      </c>
      <c r="C6" s="8" t="inlineStr">
        <is>
          <t>GENPDIF</t>
        </is>
      </c>
      <c r="D6" s="8" t="inlineStr">
        <is>
          <t>GENPDIF</t>
        </is>
      </c>
      <c r="E6" s="12" t="inlineStr">
        <is>
          <t>Generator differential</t>
        </is>
      </c>
      <c r="F6" s="5" t="n"/>
      <c r="G6" s="5" t="n"/>
      <c r="H6" s="5" t="n"/>
      <c r="I6" s="5" t="n"/>
      <c r="J6" s="5" t="n"/>
    </row>
    <row r="7">
      <c r="B7" s="15" t="inlineStr">
        <is>
          <t>87T</t>
        </is>
      </c>
      <c r="C7" s="8" t="inlineStr">
        <is>
          <t>T2WPDIF</t>
        </is>
      </c>
      <c r="D7" s="8" t="inlineStr">
        <is>
          <t>T2WPDIF</t>
        </is>
      </c>
      <c r="E7" s="12" t="inlineStr">
        <is>
          <t>Unit transformer differential</t>
        </is>
      </c>
      <c r="F7" s="5" t="n"/>
      <c r="G7" s="5" t="n"/>
      <c r="H7" s="5" t="n"/>
      <c r="I7" s="5" t="n"/>
      <c r="J7" s="5" t="n"/>
    </row>
    <row r="8">
      <c r="B8" s="15" t="inlineStr">
        <is>
          <t>87N</t>
        </is>
      </c>
      <c r="C8" s="8" t="inlineStr">
        <is>
          <t>REFPDIF</t>
        </is>
      </c>
      <c r="D8" s="8" t="inlineStr">
        <is>
          <t>REFPDIF</t>
        </is>
      </c>
      <c r="E8" s="12" t="inlineStr">
        <is>
          <t>Restricted earth fault (low-Z)</t>
        </is>
      </c>
      <c r="F8" s="5" t="n"/>
      <c r="G8" s="5" t="n"/>
      <c r="H8" s="5" t="n"/>
      <c r="I8" s="5" t="n"/>
      <c r="J8" s="5" t="n"/>
    </row>
    <row r="9">
      <c r="B9" s="15" t="inlineStr">
        <is>
          <t>64S</t>
        </is>
      </c>
      <c r="C9" s="8" t="inlineStr">
        <is>
          <t>STTIPHIZ</t>
        </is>
      </c>
      <c r="D9" s="8" t="inlineStr">
        <is>
          <t>STTIPHIZ</t>
        </is>
      </c>
      <c r="E9" s="12" t="inlineStr">
        <is>
          <t>100% stator earth fault (20 Hz inj.)</t>
        </is>
      </c>
      <c r="F9" s="5" t="n"/>
      <c r="G9" s="5" t="n"/>
      <c r="H9" s="5" t="n"/>
      <c r="I9" s="5" t="n"/>
      <c r="J9" s="5" t="n"/>
    </row>
    <row r="10">
      <c r="B10" s="15" t="inlineStr">
        <is>
          <t>64R</t>
        </is>
      </c>
      <c r="C10" s="8" t="inlineStr">
        <is>
          <t>ROTIPHIZ</t>
        </is>
      </c>
      <c r="D10" s="8" t="inlineStr">
        <is>
          <t>ROTIPHIZ</t>
        </is>
      </c>
      <c r="E10" s="12" t="inlineStr">
        <is>
          <t>Rotor earth fault (injection)</t>
        </is>
      </c>
      <c r="F10" s="5" t="n"/>
      <c r="G10" s="5" t="n"/>
      <c r="H10" s="5" t="n"/>
      <c r="I10" s="5" t="n"/>
      <c r="J10" s="5" t="n"/>
    </row>
    <row r="11">
      <c r="B11" s="15" t="inlineStr">
        <is>
          <t>40</t>
        </is>
      </c>
      <c r="C11" s="8" t="inlineStr">
        <is>
          <t>LEXPDIS</t>
        </is>
      </c>
      <c r="D11" s="8" t="inlineStr">
        <is>
          <t>LEXPDIS</t>
        </is>
      </c>
      <c r="E11" s="12" t="inlineStr">
        <is>
          <t>Loss of excitation (impedance)</t>
        </is>
      </c>
      <c r="F11" s="5" t="n"/>
      <c r="G11" s="5" t="n"/>
      <c r="H11" s="5" t="n"/>
      <c r="I11" s="5" t="n"/>
      <c r="J11" s="5" t="n"/>
    </row>
    <row r="12">
      <c r="B12" s="15" t="inlineStr">
        <is>
          <t>78</t>
        </is>
      </c>
      <c r="C12" s="8" t="inlineStr">
        <is>
          <t>PSPPPAM</t>
        </is>
      </c>
      <c r="D12" s="8" t="inlineStr">
        <is>
          <t>PSPPPAM</t>
        </is>
      </c>
      <c r="E12" s="12" t="inlineStr">
        <is>
          <t>Pole slip (lens)</t>
        </is>
      </c>
      <c r="F12" s="5" t="n"/>
      <c r="G12" s="5" t="n"/>
      <c r="H12" s="5" t="n"/>
      <c r="I12" s="5" t="n"/>
      <c r="J12" s="5" t="n"/>
    </row>
    <row r="13">
      <c r="B13" s="15" t="inlineStr">
        <is>
          <t>51V</t>
        </is>
      </c>
      <c r="C13" s="8" t="inlineStr">
        <is>
          <t>VRPVOC</t>
        </is>
      </c>
      <c r="D13" s="8" t="inlineStr">
        <is>
          <t>VRPVOC</t>
        </is>
      </c>
      <c r="E13" s="12" t="inlineStr">
        <is>
          <t>Volt-restrained OC (stator backup)</t>
        </is>
      </c>
      <c r="F13" s="5" t="n"/>
      <c r="G13" s="5" t="n"/>
      <c r="H13" s="5" t="n"/>
      <c r="I13" s="5" t="n"/>
      <c r="J13" s="5" t="n"/>
    </row>
    <row r="14">
      <c r="B14" s="15" t="inlineStr">
        <is>
          <t>50/51</t>
        </is>
      </c>
      <c r="C14" s="8" t="inlineStr">
        <is>
          <t>OC4PTOC</t>
        </is>
      </c>
      <c r="D14" s="8" t="inlineStr">
        <is>
          <t>OC4PTOC</t>
        </is>
      </c>
      <c r="E14" s="12" t="inlineStr">
        <is>
          <t>Phase overcurrent backup</t>
        </is>
      </c>
      <c r="F14" s="5" t="n"/>
      <c r="G14" s="5" t="n"/>
      <c r="H14" s="5" t="n"/>
      <c r="I14" s="5" t="n"/>
      <c r="J14" s="5" t="n"/>
    </row>
    <row r="15">
      <c r="B15" s="15" t="inlineStr">
        <is>
          <t>50N/51N</t>
        </is>
      </c>
      <c r="C15" s="8" t="inlineStr">
        <is>
          <t>EF4PTOC</t>
        </is>
      </c>
      <c r="D15" s="8" t="inlineStr">
        <is>
          <t>EF4PTOC</t>
        </is>
      </c>
      <c r="E15" s="12" t="inlineStr">
        <is>
          <t>Residual overcurrent backup</t>
        </is>
      </c>
      <c r="F15" s="5" t="n"/>
      <c r="G15" s="5" t="n"/>
      <c r="H15" s="5" t="n"/>
      <c r="I15" s="5" t="n"/>
      <c r="J15" s="5" t="n"/>
    </row>
    <row r="16">
      <c r="B16" s="15" t="inlineStr">
        <is>
          <t>46</t>
        </is>
      </c>
      <c r="C16" s="8" t="inlineStr">
        <is>
          <t>NS4PTOC</t>
        </is>
      </c>
      <c r="D16" s="8" t="inlineStr">
        <is>
          <t>NS4PTOC</t>
        </is>
      </c>
      <c r="E16" s="12" t="inlineStr">
        <is>
          <t>Negative-sequence overcurrent</t>
        </is>
      </c>
      <c r="F16" s="5" t="n"/>
      <c r="G16" s="5" t="n"/>
      <c r="H16" s="5" t="n"/>
      <c r="I16" s="5" t="n"/>
      <c r="J16" s="5" t="n"/>
    </row>
    <row r="17">
      <c r="B17" s="15" t="inlineStr">
        <is>
          <t>49S</t>
        </is>
      </c>
      <c r="C17" s="8" t="inlineStr">
        <is>
          <t>GSPTTR</t>
        </is>
      </c>
      <c r="D17" s="8" t="inlineStr">
        <is>
          <t>GSPTTR</t>
        </is>
      </c>
      <c r="E17" s="12" t="inlineStr">
        <is>
          <t>Stator thermal overload (I²t)</t>
        </is>
      </c>
      <c r="F17" s="5" t="n"/>
      <c r="G17" s="5" t="n"/>
      <c r="H17" s="5" t="n"/>
      <c r="I17" s="5" t="n"/>
      <c r="J17" s="5" t="n"/>
    </row>
    <row r="18">
      <c r="B18" s="15" t="inlineStr">
        <is>
          <t>49R</t>
        </is>
      </c>
      <c r="C18" s="8" t="inlineStr">
        <is>
          <t>GRPTTR</t>
        </is>
      </c>
      <c r="D18" s="8" t="inlineStr">
        <is>
          <t>GRPTTR</t>
        </is>
      </c>
      <c r="E18" s="12" t="inlineStr">
        <is>
          <t>Rotor thermal overload (I²t)</t>
        </is>
      </c>
      <c r="F18" s="5" t="n"/>
      <c r="G18" s="5" t="n"/>
      <c r="H18" s="5" t="n"/>
      <c r="I18" s="5" t="n"/>
      <c r="J18" s="5" t="n"/>
    </row>
    <row r="19">
      <c r="B19" s="15" t="inlineStr">
        <is>
          <t>27</t>
        </is>
      </c>
      <c r="C19" s="8" t="inlineStr">
        <is>
          <t>UV2PTUV</t>
        </is>
      </c>
      <c r="D19" s="8" t="inlineStr">
        <is>
          <t>UV2PTUV</t>
        </is>
      </c>
      <c r="E19" s="12" t="inlineStr">
        <is>
          <t>Undervoltage (2-step)</t>
        </is>
      </c>
      <c r="F19" s="5" t="n"/>
      <c r="G19" s="5" t="n"/>
      <c r="H19" s="5" t="n"/>
      <c r="I19" s="5" t="n"/>
      <c r="J19" s="5" t="n"/>
    </row>
    <row r="20">
      <c r="B20" s="15" t="inlineStr">
        <is>
          <t>59</t>
        </is>
      </c>
      <c r="C20" s="8" t="inlineStr">
        <is>
          <t>OV2PTOV</t>
        </is>
      </c>
      <c r="D20" s="8" t="inlineStr">
        <is>
          <t>OV2PTOV</t>
        </is>
      </c>
      <c r="E20" s="12" t="inlineStr">
        <is>
          <t>Overvoltage (2-step)</t>
        </is>
      </c>
      <c r="F20" s="5" t="n"/>
      <c r="G20" s="5" t="n"/>
      <c r="H20" s="5" t="n"/>
      <c r="I20" s="5" t="n"/>
      <c r="J20" s="5" t="n"/>
    </row>
    <row r="21">
      <c r="B21" s="15" t="inlineStr">
        <is>
          <t>59N</t>
        </is>
      </c>
      <c r="C21" s="8" t="inlineStr">
        <is>
          <t>ROV2PTOV</t>
        </is>
      </c>
      <c r="D21" s="8" t="inlineStr">
        <is>
          <t>ROV2PTOV</t>
        </is>
      </c>
      <c r="E21" s="12" t="inlineStr">
        <is>
          <t>Residual overvoltage</t>
        </is>
      </c>
      <c r="F21" s="5" t="n"/>
      <c r="G21" s="5" t="n"/>
      <c r="H21" s="5" t="n"/>
      <c r="I21" s="5" t="n"/>
      <c r="J21" s="5" t="n"/>
    </row>
    <row r="22">
      <c r="B22" s="15" t="inlineStr">
        <is>
          <t>24</t>
        </is>
      </c>
      <c r="C22" s="8" t="inlineStr">
        <is>
          <t>OEXPVPH</t>
        </is>
      </c>
      <c r="D22" s="8" t="inlineStr">
        <is>
          <t>OEXPVPH</t>
        </is>
      </c>
      <c r="E22" s="12" t="inlineStr">
        <is>
          <t>Overexcitation (V/Hz)</t>
        </is>
      </c>
      <c r="F22" s="5" t="n"/>
      <c r="G22" s="5" t="n"/>
      <c r="H22" s="5" t="n"/>
      <c r="I22" s="5" t="n"/>
      <c r="J22" s="5" t="n"/>
    </row>
    <row r="23">
      <c r="B23" s="15" t="inlineStr">
        <is>
          <t>32</t>
        </is>
      </c>
      <c r="C23" s="8" t="inlineStr">
        <is>
          <t>GOPPDOP</t>
        </is>
      </c>
      <c r="D23" s="8" t="inlineStr">
        <is>
          <t>GOPPDOP</t>
        </is>
      </c>
      <c r="E23" s="12" t="inlineStr">
        <is>
          <t>Directional overpower</t>
        </is>
      </c>
      <c r="F23" s="5" t="n"/>
      <c r="G23" s="5" t="n"/>
      <c r="H23" s="5" t="n"/>
      <c r="I23" s="5" t="n"/>
      <c r="J23" s="5" t="n"/>
    </row>
    <row r="24">
      <c r="B24" s="15" t="inlineStr">
        <is>
          <t>37</t>
        </is>
      </c>
      <c r="C24" s="8" t="inlineStr">
        <is>
          <t>GUPPDUP</t>
        </is>
      </c>
      <c r="D24" s="8" t="inlineStr">
        <is>
          <t>GUPPDUP</t>
        </is>
      </c>
      <c r="E24" s="12" t="inlineStr">
        <is>
          <t>Directional underpower</t>
        </is>
      </c>
      <c r="F24" s="5" t="n"/>
      <c r="G24" s="5" t="n"/>
      <c r="H24" s="5" t="n"/>
      <c r="I24" s="5" t="n"/>
      <c r="J24" s="5" t="n"/>
    </row>
    <row r="25">
      <c r="B25" s="15" t="inlineStr">
        <is>
          <t>50BF</t>
        </is>
      </c>
      <c r="C25" s="8" t="inlineStr">
        <is>
          <t>CCRBRF</t>
        </is>
      </c>
      <c r="D25" s="8" t="inlineStr">
        <is>
          <t>CCRBRF</t>
        </is>
      </c>
      <c r="E25" s="12" t="inlineStr">
        <is>
          <t>Breaker failure (3-phase)</t>
        </is>
      </c>
      <c r="F25" s="5" t="n"/>
      <c r="G25" s="5" t="n"/>
      <c r="H25" s="5" t="n"/>
      <c r="I25" s="5" t="n"/>
      <c r="J25" s="5" t="n"/>
    </row>
    <row r="26">
      <c r="B26" s="15" t="inlineStr">
        <is>
          <t>52PD</t>
        </is>
      </c>
      <c r="C26" s="8" t="inlineStr">
        <is>
          <t>CCPDSC</t>
        </is>
      </c>
      <c r="D26" s="8" t="inlineStr">
        <is>
          <t>CCPDSC</t>
        </is>
      </c>
      <c r="E26" s="12" t="inlineStr">
        <is>
          <t>CB pole discrepancy</t>
        </is>
      </c>
      <c r="F26" s="5" t="n"/>
      <c r="G26" s="5" t="n"/>
      <c r="H26" s="5" t="n"/>
      <c r="I26" s="5" t="n"/>
      <c r="J26" s="5" t="n"/>
    </row>
    <row r="27">
      <c r="B27" s="15" t="inlineStr">
        <is>
          <t>25</t>
        </is>
      </c>
      <c r="C27" s="8" t="inlineStr">
        <is>
          <t>SESRSYN</t>
        </is>
      </c>
      <c r="D27" s="8" t="inlineStr">
        <is>
          <t>SESRSYN</t>
        </is>
      </c>
      <c r="E27" s="12" t="inlineStr">
        <is>
          <t>Synchronism / energising check</t>
        </is>
      </c>
      <c r="F27" s="5" t="n"/>
      <c r="G27" s="5" t="n"/>
      <c r="H27" s="5" t="n"/>
      <c r="I27" s="5" t="n"/>
      <c r="J27" s="5" t="n"/>
    </row>
    <row r="28">
      <c r="B28" s="15" t="inlineStr">
        <is>
          <t>50AE</t>
        </is>
      </c>
      <c r="C28" s="8" t="inlineStr">
        <is>
          <t>AEGPVOC</t>
        </is>
      </c>
      <c r="D28" s="8" t="inlineStr">
        <is>
          <t>AEGPVOC</t>
        </is>
      </c>
      <c r="E28" s="12" t="inlineStr">
        <is>
          <t>Accidental energising</t>
        </is>
      </c>
      <c r="F28" s="5" t="n"/>
      <c r="G28" s="5" t="n"/>
      <c r="H28" s="5" t="n"/>
      <c r="I28" s="5" t="n"/>
      <c r="J28" s="5" t="n"/>
    </row>
    <row r="29">
      <c r="B29" s="15" t="inlineStr">
        <is>
          <t>81U</t>
        </is>
      </c>
      <c r="C29" s="8" t="inlineStr">
        <is>
          <t>SAPTUF</t>
        </is>
      </c>
      <c r="D29" s="8" t="inlineStr">
        <is>
          <t>SAPTUF</t>
        </is>
      </c>
      <c r="E29" s="12" t="inlineStr">
        <is>
          <t>Underfrequency</t>
        </is>
      </c>
      <c r="F29" s="5" t="n"/>
      <c r="G29" s="5" t="n"/>
      <c r="H29" s="5" t="n"/>
      <c r="I29" s="5" t="n"/>
      <c r="J29" s="5" t="n"/>
    </row>
    <row r="30">
      <c r="B30" s="15" t="inlineStr">
        <is>
          <t>81O</t>
        </is>
      </c>
      <c r="C30" s="8" t="inlineStr">
        <is>
          <t>SAPTOF</t>
        </is>
      </c>
      <c r="D30" s="8" t="inlineStr">
        <is>
          <t>SAPTOF</t>
        </is>
      </c>
      <c r="E30" s="12" t="inlineStr">
        <is>
          <t>Overfrequency</t>
        </is>
      </c>
      <c r="F30" s="5" t="n"/>
      <c r="G30" s="5" t="n"/>
      <c r="H30" s="5" t="n"/>
      <c r="I30" s="5" t="n"/>
      <c r="J30" s="5" t="n"/>
    </row>
    <row r="31">
      <c r="B31" s="15" t="inlineStr">
        <is>
          <t>81R</t>
        </is>
      </c>
      <c r="C31" s="8" t="inlineStr">
        <is>
          <t>SAPFRC</t>
        </is>
      </c>
      <c r="D31" s="8" t="inlineStr">
        <is>
          <t>SAPFRC</t>
        </is>
      </c>
      <c r="E31" s="12" t="inlineStr">
        <is>
          <t>ROCOF</t>
        </is>
      </c>
      <c r="F31" s="5" t="n"/>
      <c r="G31" s="5" t="n"/>
      <c r="H31" s="5" t="n"/>
      <c r="I31" s="5" t="n"/>
      <c r="J31" s="5" t="n"/>
    </row>
    <row r="32">
      <c r="B32" s="15" t="inlineStr">
        <is>
          <t>60</t>
        </is>
      </c>
      <c r="C32" s="8" t="inlineStr">
        <is>
          <t>FUFSPVC</t>
        </is>
      </c>
      <c r="D32" s="8" t="inlineStr">
        <is>
          <t>FUFSPVC</t>
        </is>
      </c>
      <c r="E32" s="12" t="inlineStr">
        <is>
          <t>Fuse / VT failure supervision</t>
        </is>
      </c>
      <c r="F32" s="5" t="n"/>
      <c r="G32" s="5" t="n"/>
      <c r="H32" s="5" t="n"/>
      <c r="I32" s="5" t="n"/>
      <c r="J32" s="5" t="n"/>
    </row>
    <row r="33">
      <c r="B33" s="15" t="inlineStr">
        <is>
          <t>CCS</t>
        </is>
      </c>
      <c r="C33" s="8" t="inlineStr">
        <is>
          <t>CCS</t>
        </is>
      </c>
      <c r="D33" s="8" t="inlineStr">
        <is>
          <t>CCS</t>
        </is>
      </c>
      <c r="E33" s="12" t="inlineStr">
        <is>
          <t>Current circuit supervision</t>
        </is>
      </c>
      <c r="F33" s="5" t="n"/>
      <c r="G33" s="5" t="n"/>
      <c r="H33" s="5" t="n"/>
      <c r="I33" s="5" t="n"/>
      <c r="J33" s="5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4E79"/>
    <outlinePr summaryBelow="1" summaryRight="1"/>
    <pageSetUpPr/>
  </sheetPr>
  <dimension ref="B2:M21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9" customWidth="1" min="3" max="3"/>
    <col width="22" customWidth="1" min="4" max="4"/>
    <col width="22" customWidth="1" min="5" max="5"/>
    <col width="12" customWidth="1" min="6" max="6"/>
    <col width="14" customWidth="1" min="7" max="7"/>
    <col width="11" customWidth="1" min="8" max="8"/>
    <col width="13" customWidth="1" min="9" max="9"/>
    <col width="14" customWidth="1" min="10" max="10"/>
    <col width="11" customWidth="1" min="11" max="11"/>
    <col width="8" customWidth="1" min="12" max="12"/>
    <col width="22" customWidth="1" min="13" max="13"/>
  </cols>
  <sheetData>
    <row r="2">
      <c r="B2" s="1" t="inlineStr">
        <is>
          <t>Per-Element Test Results</t>
        </is>
      </c>
    </row>
    <row r="5">
      <c r="B5" s="6" t="inlineStr">
        <is>
          <t>#</t>
        </is>
      </c>
      <c r="C5" s="6" t="inlineStr">
        <is>
          <t>ANSI</t>
        </is>
      </c>
      <c r="D5" s="6" t="inlineStr">
        <is>
          <t>ABB Function</t>
        </is>
      </c>
      <c r="E5" s="6" t="inlineStr">
        <is>
          <t>Setting tested</t>
        </is>
      </c>
      <c r="F5" s="6" t="inlineStr">
        <is>
          <t>Pickup setting</t>
        </is>
      </c>
      <c r="G5" s="6" t="inlineStr">
        <is>
          <t>Pickup measured</t>
        </is>
      </c>
      <c r="H5" s="6" t="inlineStr">
        <is>
          <t>Pickup err %</t>
        </is>
      </c>
      <c r="I5" s="6" t="inlineStr">
        <is>
          <t>Time setting (s)</t>
        </is>
      </c>
      <c r="J5" s="6" t="inlineStr">
        <is>
          <t>Time measured (s)</t>
        </is>
      </c>
      <c r="K5" s="6" t="inlineStr">
        <is>
          <t>Time err %</t>
        </is>
      </c>
      <c r="L5" s="6" t="inlineStr">
        <is>
          <t>Result</t>
        </is>
      </c>
      <c r="M5" s="6" t="inlineStr">
        <is>
          <t>Notes</t>
        </is>
      </c>
    </row>
    <row r="6">
      <c r="B6" s="8" t="n">
        <v>1</v>
      </c>
      <c r="C6" s="5" t="n"/>
      <c r="D6" s="5" t="n"/>
      <c r="E6" s="5" t="n"/>
      <c r="F6" s="14" t="n"/>
      <c r="G6" s="14" t="n"/>
      <c r="H6" s="7">
        <f>IFERROR(IF(OR(F6="",G6=""),"",(G6-F6)/F6*100),"")</f>
        <v/>
      </c>
      <c r="I6" s="14" t="n"/>
      <c r="J6" s="14" t="n"/>
      <c r="K6" s="7">
        <f>IFERROR(IF(OR(I6="",J6=""),"",(J6-I6)/I6*100),"")</f>
        <v/>
      </c>
      <c r="L6" s="8">
        <f>IF(AND(NOT(ISNUMBER(H6)),NOT(ISNUMBER(K6))),"",IF(OR(AND(ISNUMBER(H6),ABS(N(H6))&gt;TolPickup_pct),AND(ISNUMBER(K6),ABS(N(K6))&gt;TolTime_pct)),"FAIL","PASS"))</f>
        <v/>
      </c>
      <c r="M6" s="5" t="n"/>
    </row>
    <row r="7">
      <c r="B7" s="8" t="n">
        <v>2</v>
      </c>
      <c r="C7" s="5" t="n"/>
      <c r="D7" s="5" t="n"/>
      <c r="E7" s="5" t="n"/>
      <c r="F7" s="14" t="n"/>
      <c r="G7" s="14" t="n"/>
      <c r="H7" s="7">
        <f>IFERROR(IF(OR(F7="",G7=""),"",(G7-F7)/F7*100),"")</f>
        <v/>
      </c>
      <c r="I7" s="14" t="n"/>
      <c r="J7" s="14" t="n"/>
      <c r="K7" s="7">
        <f>IFERROR(IF(OR(I7="",J7=""),"",(J7-I7)/I7*100),"")</f>
        <v/>
      </c>
      <c r="L7" s="8">
        <f>IF(AND(NOT(ISNUMBER(H7)),NOT(ISNUMBER(K7))),"",IF(OR(AND(ISNUMBER(H7),ABS(N(H7))&gt;TolPickup_pct),AND(ISNUMBER(K7),ABS(N(K7))&gt;TolTime_pct)),"FAIL","PASS"))</f>
        <v/>
      </c>
      <c r="M7" s="5" t="n"/>
    </row>
    <row r="8">
      <c r="B8" s="8" t="n">
        <v>3</v>
      </c>
      <c r="C8" s="5" t="n"/>
      <c r="D8" s="5" t="n"/>
      <c r="E8" s="5" t="n"/>
      <c r="F8" s="14" t="n"/>
      <c r="G8" s="14" t="n"/>
      <c r="H8" s="7">
        <f>IFERROR(IF(OR(F8="",G8=""),"",(G8-F8)/F8*100),"")</f>
        <v/>
      </c>
      <c r="I8" s="14" t="n"/>
      <c r="J8" s="14" t="n"/>
      <c r="K8" s="7">
        <f>IFERROR(IF(OR(I8="",J8=""),"",(J8-I8)/I8*100),"")</f>
        <v/>
      </c>
      <c r="L8" s="8">
        <f>IF(AND(NOT(ISNUMBER(H8)),NOT(ISNUMBER(K8))),"",IF(OR(AND(ISNUMBER(H8),ABS(N(H8))&gt;TolPickup_pct),AND(ISNUMBER(K8),ABS(N(K8))&gt;TolTime_pct)),"FAIL","PASS"))</f>
        <v/>
      </c>
      <c r="M8" s="5" t="n"/>
    </row>
    <row r="9">
      <c r="B9" s="8" t="n">
        <v>4</v>
      </c>
      <c r="C9" s="5" t="n"/>
      <c r="D9" s="5" t="n"/>
      <c r="E9" s="5" t="n"/>
      <c r="F9" s="14" t="n"/>
      <c r="G9" s="14" t="n"/>
      <c r="H9" s="7">
        <f>IFERROR(IF(OR(F9="",G9=""),"",(G9-F9)/F9*100),"")</f>
        <v/>
      </c>
      <c r="I9" s="14" t="n"/>
      <c r="J9" s="14" t="n"/>
      <c r="K9" s="7">
        <f>IFERROR(IF(OR(I9="",J9=""),"",(J9-I9)/I9*100),"")</f>
        <v/>
      </c>
      <c r="L9" s="8">
        <f>IF(AND(NOT(ISNUMBER(H9)),NOT(ISNUMBER(K9))),"",IF(OR(AND(ISNUMBER(H9),ABS(N(H9))&gt;TolPickup_pct),AND(ISNUMBER(K9),ABS(N(K9))&gt;TolTime_pct)),"FAIL","PASS"))</f>
        <v/>
      </c>
      <c r="M9" s="5" t="n"/>
    </row>
    <row r="10">
      <c r="B10" s="8" t="n">
        <v>5</v>
      </c>
      <c r="C10" s="5" t="n"/>
      <c r="D10" s="5" t="n"/>
      <c r="E10" s="5" t="n"/>
      <c r="F10" s="14" t="n"/>
      <c r="G10" s="14" t="n"/>
      <c r="H10" s="7">
        <f>IFERROR(IF(OR(F10="",G10=""),"",(G10-F10)/F10*100),"")</f>
        <v/>
      </c>
      <c r="I10" s="14" t="n"/>
      <c r="J10" s="14" t="n"/>
      <c r="K10" s="7">
        <f>IFERROR(IF(OR(I10="",J10=""),"",(J10-I10)/I10*100),"")</f>
        <v/>
      </c>
      <c r="L10" s="8">
        <f>IF(AND(NOT(ISNUMBER(H10)),NOT(ISNUMBER(K10))),"",IF(OR(AND(ISNUMBER(H10),ABS(N(H10))&gt;TolPickup_pct),AND(ISNUMBER(K10),ABS(N(K10))&gt;TolTime_pct)),"FAIL","PASS"))</f>
        <v/>
      </c>
      <c r="M10" s="5" t="n"/>
    </row>
    <row r="11">
      <c r="B11" s="8" t="n">
        <v>6</v>
      </c>
      <c r="C11" s="5" t="n"/>
      <c r="D11" s="5" t="n"/>
      <c r="E11" s="5" t="n"/>
      <c r="F11" s="14" t="n"/>
      <c r="G11" s="14" t="n"/>
      <c r="H11" s="7">
        <f>IFERROR(IF(OR(F11="",G11=""),"",(G11-F11)/F11*100),"")</f>
        <v/>
      </c>
      <c r="I11" s="14" t="n"/>
      <c r="J11" s="14" t="n"/>
      <c r="K11" s="7">
        <f>IFERROR(IF(OR(I11="",J11=""),"",(J11-I11)/I11*100),"")</f>
        <v/>
      </c>
      <c r="L11" s="8">
        <f>IF(AND(NOT(ISNUMBER(H11)),NOT(ISNUMBER(K11))),"",IF(OR(AND(ISNUMBER(H11),ABS(N(H11))&gt;TolPickup_pct),AND(ISNUMBER(K11),ABS(N(K11))&gt;TolTime_pct)),"FAIL","PASS"))</f>
        <v/>
      </c>
      <c r="M11" s="5" t="n"/>
    </row>
    <row r="12">
      <c r="B12" s="8" t="n">
        <v>7</v>
      </c>
      <c r="C12" s="5" t="n"/>
      <c r="D12" s="5" t="n"/>
      <c r="E12" s="5" t="n"/>
      <c r="F12" s="14" t="n"/>
      <c r="G12" s="14" t="n"/>
      <c r="H12" s="7">
        <f>IFERROR(IF(OR(F12="",G12=""),"",(G12-F12)/F12*100),"")</f>
        <v/>
      </c>
      <c r="I12" s="14" t="n"/>
      <c r="J12" s="14" t="n"/>
      <c r="K12" s="7">
        <f>IFERROR(IF(OR(I12="",J12=""),"",(J12-I12)/I12*100),"")</f>
        <v/>
      </c>
      <c r="L12" s="8">
        <f>IF(AND(NOT(ISNUMBER(H12)),NOT(ISNUMBER(K12))),"",IF(OR(AND(ISNUMBER(H12),ABS(N(H12))&gt;TolPickup_pct),AND(ISNUMBER(K12),ABS(N(K12))&gt;TolTime_pct)),"FAIL","PASS"))</f>
        <v/>
      </c>
      <c r="M12" s="5" t="n"/>
    </row>
    <row r="13">
      <c r="B13" s="8" t="n">
        <v>8</v>
      </c>
      <c r="C13" s="5" t="n"/>
      <c r="D13" s="5" t="n"/>
      <c r="E13" s="5" t="n"/>
      <c r="F13" s="14" t="n"/>
      <c r="G13" s="14" t="n"/>
      <c r="H13" s="7">
        <f>IFERROR(IF(OR(F13="",G13=""),"",(G13-F13)/F13*100),"")</f>
        <v/>
      </c>
      <c r="I13" s="14" t="n"/>
      <c r="J13" s="14" t="n"/>
      <c r="K13" s="7">
        <f>IFERROR(IF(OR(I13="",J13=""),"",(J13-I13)/I13*100),"")</f>
        <v/>
      </c>
      <c r="L13" s="8">
        <f>IF(AND(NOT(ISNUMBER(H13)),NOT(ISNUMBER(K13))),"",IF(OR(AND(ISNUMBER(H13),ABS(N(H13))&gt;TolPickup_pct),AND(ISNUMBER(K13),ABS(N(K13))&gt;TolTime_pct)),"FAIL","PASS"))</f>
        <v/>
      </c>
      <c r="M13" s="5" t="n"/>
    </row>
    <row r="14">
      <c r="B14" s="8" t="n">
        <v>9</v>
      </c>
      <c r="C14" s="5" t="n"/>
      <c r="D14" s="5" t="n"/>
      <c r="E14" s="5" t="n"/>
      <c r="F14" s="14" t="n"/>
      <c r="G14" s="14" t="n"/>
      <c r="H14" s="7">
        <f>IFERROR(IF(OR(F14="",G14=""),"",(G14-F14)/F14*100),"")</f>
        <v/>
      </c>
      <c r="I14" s="14" t="n"/>
      <c r="J14" s="14" t="n"/>
      <c r="K14" s="7">
        <f>IFERROR(IF(OR(I14="",J14=""),"",(J14-I14)/I14*100),"")</f>
        <v/>
      </c>
      <c r="L14" s="8">
        <f>IF(AND(NOT(ISNUMBER(H14)),NOT(ISNUMBER(K14))),"",IF(OR(AND(ISNUMBER(H14),ABS(N(H14))&gt;TolPickup_pct),AND(ISNUMBER(K14),ABS(N(K14))&gt;TolTime_pct)),"FAIL","PASS"))</f>
        <v/>
      </c>
      <c r="M14" s="5" t="n"/>
    </row>
    <row r="15">
      <c r="B15" s="8" t="n">
        <v>10</v>
      </c>
      <c r="C15" s="5" t="n"/>
      <c r="D15" s="5" t="n"/>
      <c r="E15" s="5" t="n"/>
      <c r="F15" s="14" t="n"/>
      <c r="G15" s="14" t="n"/>
      <c r="H15" s="7">
        <f>IFERROR(IF(OR(F15="",G15=""),"",(G15-F15)/F15*100),"")</f>
        <v/>
      </c>
      <c r="I15" s="14" t="n"/>
      <c r="J15" s="14" t="n"/>
      <c r="K15" s="7">
        <f>IFERROR(IF(OR(I15="",J15=""),"",(J15-I15)/I15*100),"")</f>
        <v/>
      </c>
      <c r="L15" s="8">
        <f>IF(AND(NOT(ISNUMBER(H15)),NOT(ISNUMBER(K15))),"",IF(OR(AND(ISNUMBER(H15),ABS(N(H15))&gt;TolPickup_pct),AND(ISNUMBER(K15),ABS(N(K15))&gt;TolTime_pct)),"FAIL","PASS"))</f>
        <v/>
      </c>
      <c r="M15" s="5" t="n"/>
    </row>
    <row r="16">
      <c r="B16" s="8" t="n">
        <v>11</v>
      </c>
      <c r="C16" s="5" t="n"/>
      <c r="D16" s="5" t="n"/>
      <c r="E16" s="5" t="n"/>
      <c r="F16" s="14" t="n"/>
      <c r="G16" s="14" t="n"/>
      <c r="H16" s="7">
        <f>IFERROR(IF(OR(F16="",G16=""),"",(G16-F16)/F16*100),"")</f>
        <v/>
      </c>
      <c r="I16" s="14" t="n"/>
      <c r="J16" s="14" t="n"/>
      <c r="K16" s="7">
        <f>IFERROR(IF(OR(I16="",J16=""),"",(J16-I16)/I16*100),"")</f>
        <v/>
      </c>
      <c r="L16" s="8">
        <f>IF(AND(NOT(ISNUMBER(H16)),NOT(ISNUMBER(K16))),"",IF(OR(AND(ISNUMBER(H16),ABS(N(H16))&gt;TolPickup_pct),AND(ISNUMBER(K16),ABS(N(K16))&gt;TolTime_pct)),"FAIL","PASS"))</f>
        <v/>
      </c>
      <c r="M16" s="5" t="n"/>
    </row>
    <row r="17">
      <c r="B17" s="8" t="n">
        <v>12</v>
      </c>
      <c r="C17" s="5" t="n"/>
      <c r="D17" s="5" t="n"/>
      <c r="E17" s="5" t="n"/>
      <c r="F17" s="14" t="n"/>
      <c r="G17" s="14" t="n"/>
      <c r="H17" s="7">
        <f>IFERROR(IF(OR(F17="",G17=""),"",(G17-F17)/F17*100),"")</f>
        <v/>
      </c>
      <c r="I17" s="14" t="n"/>
      <c r="J17" s="14" t="n"/>
      <c r="K17" s="7">
        <f>IFERROR(IF(OR(I17="",J17=""),"",(J17-I17)/I17*100),"")</f>
        <v/>
      </c>
      <c r="L17" s="8">
        <f>IF(AND(NOT(ISNUMBER(H17)),NOT(ISNUMBER(K17))),"",IF(OR(AND(ISNUMBER(H17),ABS(N(H17))&gt;TolPickup_pct),AND(ISNUMBER(K17),ABS(N(K17))&gt;TolTime_pct)),"FAIL","PASS"))</f>
        <v/>
      </c>
      <c r="M17" s="5" t="n"/>
    </row>
    <row r="18">
      <c r="B18" s="8" t="n">
        <v>13</v>
      </c>
      <c r="C18" s="5" t="n"/>
      <c r="D18" s="5" t="n"/>
      <c r="E18" s="5" t="n"/>
      <c r="F18" s="14" t="n"/>
      <c r="G18" s="14" t="n"/>
      <c r="H18" s="7">
        <f>IFERROR(IF(OR(F18="",G18=""),"",(G18-F18)/F18*100),"")</f>
        <v/>
      </c>
      <c r="I18" s="14" t="n"/>
      <c r="J18" s="14" t="n"/>
      <c r="K18" s="7">
        <f>IFERROR(IF(OR(I18="",J18=""),"",(J18-I18)/I18*100),"")</f>
        <v/>
      </c>
      <c r="L18" s="8">
        <f>IF(AND(NOT(ISNUMBER(H18)),NOT(ISNUMBER(K18))),"",IF(OR(AND(ISNUMBER(H18),ABS(N(H18))&gt;TolPickup_pct),AND(ISNUMBER(K18),ABS(N(K18))&gt;TolTime_pct)),"FAIL","PASS"))</f>
        <v/>
      </c>
      <c r="M18" s="5" t="n"/>
    </row>
    <row r="19">
      <c r="B19" s="8" t="n">
        <v>14</v>
      </c>
      <c r="C19" s="5" t="n"/>
      <c r="D19" s="5" t="n"/>
      <c r="E19" s="5" t="n"/>
      <c r="F19" s="14" t="n"/>
      <c r="G19" s="14" t="n"/>
      <c r="H19" s="7">
        <f>IFERROR(IF(OR(F19="",G19=""),"",(G19-F19)/F19*100),"")</f>
        <v/>
      </c>
      <c r="I19" s="14" t="n"/>
      <c r="J19" s="14" t="n"/>
      <c r="K19" s="7">
        <f>IFERROR(IF(OR(I19="",J19=""),"",(J19-I19)/I19*100),"")</f>
        <v/>
      </c>
      <c r="L19" s="8">
        <f>IF(AND(NOT(ISNUMBER(H19)),NOT(ISNUMBER(K19))),"",IF(OR(AND(ISNUMBER(H19),ABS(N(H19))&gt;TolPickup_pct),AND(ISNUMBER(K19),ABS(N(K19))&gt;TolTime_pct)),"FAIL","PASS"))</f>
        <v/>
      </c>
      <c r="M19" s="5" t="n"/>
    </row>
    <row r="20">
      <c r="B20" s="8" t="n">
        <v>15</v>
      </c>
      <c r="C20" s="5" t="n"/>
      <c r="D20" s="5" t="n"/>
      <c r="E20" s="5" t="n"/>
      <c r="F20" s="14" t="n"/>
      <c r="G20" s="14" t="n"/>
      <c r="H20" s="7">
        <f>IFERROR(IF(OR(F20="",G20=""),"",(G20-F20)/F20*100),"")</f>
        <v/>
      </c>
      <c r="I20" s="14" t="n"/>
      <c r="J20" s="14" t="n"/>
      <c r="K20" s="7">
        <f>IFERROR(IF(OR(I20="",J20=""),"",(J20-I20)/I20*100),"")</f>
        <v/>
      </c>
      <c r="L20" s="8">
        <f>IF(AND(NOT(ISNUMBER(H20)),NOT(ISNUMBER(K20))),"",IF(OR(AND(ISNUMBER(H20),ABS(N(H20))&gt;TolPickup_pct),AND(ISNUMBER(K20),ABS(N(K20))&gt;TolTime_pct)),"FAIL","PASS"))</f>
        <v/>
      </c>
      <c r="M20" s="5" t="n"/>
    </row>
    <row r="21">
      <c r="B21" s="8" t="n">
        <v>16</v>
      </c>
      <c r="C21" s="5" t="n"/>
      <c r="D21" s="5" t="n"/>
      <c r="E21" s="5" t="n"/>
      <c r="F21" s="14" t="n"/>
      <c r="G21" s="14" t="n"/>
      <c r="H21" s="7">
        <f>IFERROR(IF(OR(F21="",G21=""),"",(G21-F21)/F21*100),"")</f>
        <v/>
      </c>
      <c r="I21" s="14" t="n"/>
      <c r="J21" s="14" t="n"/>
      <c r="K21" s="7">
        <f>IFERROR(IF(OR(I21="",J21=""),"",(J21-I21)/I21*100),"")</f>
        <v/>
      </c>
      <c r="L21" s="8">
        <f>IF(AND(NOT(ISNUMBER(H21)),NOT(ISNUMBER(K21))),"",IF(OR(AND(ISNUMBER(H21),ABS(N(H21))&gt;TolPickup_pct),AND(ISNUMBER(K21),ABS(N(K21))&gt;TolTime_pct)),"FAIL","PASS"))</f>
        <v/>
      </c>
      <c r="M21" s="5" t="n"/>
    </row>
  </sheetData>
  <conditionalFormatting sqref="L6:L21">
    <cfRule type="cellIs" priority="1" operator="equal" dxfId="0">
      <formula>"PASS"</formula>
    </cfRule>
    <cfRule type="cellIs" priority="2" operator="equal" dxfId="1">
      <formula>"FAIL"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F4E79"/>
    <outlinePr summaryBelow="1" summaryRight="1"/>
    <pageSetUpPr/>
  </sheetPr>
  <dimension ref="B2:F4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60" customWidth="1" min="3" max="3"/>
    <col width="12" customWidth="1" min="4" max="4"/>
    <col width="26" customWidth="1" min="5" max="5"/>
    <col width="10" customWidth="1" min="6" max="6"/>
  </cols>
  <sheetData>
    <row r="2">
      <c r="B2" s="1" t="inlineStr">
        <is>
          <t>Post-Test Checklist</t>
        </is>
      </c>
    </row>
    <row r="4">
      <c r="B4" s="3" t="inlineStr">
        <is>
          <t>8.1 Settings re-comparison (as-left vs. master)</t>
        </is>
      </c>
    </row>
    <row r="5">
      <c r="B5" s="6" t="inlineStr">
        <is>
          <t>#</t>
        </is>
      </c>
      <c r="C5" s="6" t="inlineStr">
        <is>
          <t>Check</t>
        </is>
      </c>
      <c r="D5" s="6" t="inlineStr">
        <is>
          <t>Status</t>
        </is>
      </c>
      <c r="E5" s="6" t="inlineStr">
        <is>
          <t>Notes / Value</t>
        </is>
      </c>
      <c r="F5" s="6" t="inlineStr">
        <is>
          <t>Initials</t>
        </is>
      </c>
    </row>
    <row r="6">
      <c r="B6" s="8" t="n">
        <v>1</v>
      </c>
      <c r="C6" s="12" t="inlineStr">
        <is>
          <t>PCM600 upload; saved as asleft_[date]_[tag].pcm.</t>
        </is>
      </c>
      <c r="D6" s="5" t="n"/>
      <c r="E6" s="5" t="n"/>
      <c r="F6" s="5" t="n"/>
    </row>
    <row r="7">
      <c r="B7" s="8" t="n">
        <v>2</v>
      </c>
      <c r="C7" s="12" t="inlineStr">
        <is>
          <t>Compared as-left vs. master settings.</t>
        </is>
      </c>
      <c r="D7" s="5" t="n"/>
      <c r="E7" s="5" t="n"/>
      <c r="F7" s="5" t="n"/>
    </row>
    <row r="8">
      <c r="B8" s="8" t="n">
        <v>3</v>
      </c>
      <c r="C8" s="12" t="inlineStr">
        <is>
          <t>Zero unauthorised differences remain.</t>
        </is>
      </c>
      <c r="D8" s="5" t="n"/>
      <c r="E8" s="5" t="n"/>
      <c r="F8" s="5" t="n"/>
    </row>
    <row r="9">
      <c r="B9" s="8" t="n">
        <v>4</v>
      </c>
      <c r="C9" s="12" t="inlineStr">
        <is>
          <t>Temporarily disabled / modified functions restored.</t>
        </is>
      </c>
      <c r="D9" s="5" t="n"/>
      <c r="E9" s="5" t="n"/>
      <c r="F9" s="5" t="n"/>
    </row>
    <row r="11">
      <c r="B11" s="3" t="inlineStr">
        <is>
          <t>8.2 Clear alarms / reset indications</t>
        </is>
      </c>
    </row>
    <row r="12">
      <c r="B12" s="6" t="inlineStr">
        <is>
          <t>#</t>
        </is>
      </c>
      <c r="C12" s="6" t="inlineStr">
        <is>
          <t>Check</t>
        </is>
      </c>
      <c r="D12" s="6" t="inlineStr">
        <is>
          <t>Status</t>
        </is>
      </c>
      <c r="E12" s="6" t="inlineStr">
        <is>
          <t>Notes / Value</t>
        </is>
      </c>
      <c r="F12" s="6" t="inlineStr">
        <is>
          <t>Initials</t>
        </is>
      </c>
    </row>
    <row r="13">
      <c r="B13" s="8" t="n">
        <v>5</v>
      </c>
      <c r="C13" s="12" t="inlineStr">
        <is>
          <t>Test-mode alarms cleared via LHMI &gt; Clear.</t>
        </is>
      </c>
      <c r="D13" s="5" t="n"/>
      <c r="E13" s="5" t="n"/>
      <c r="F13" s="5" t="n"/>
    </row>
    <row r="14">
      <c r="B14" s="8" t="n">
        <v>6</v>
      </c>
      <c r="C14" s="12" t="inlineStr">
        <is>
          <t>LHMI alarm LEDs and latched indications reset.</t>
        </is>
      </c>
      <c r="D14" s="5" t="n"/>
      <c r="E14" s="5" t="n"/>
      <c r="F14" s="5" t="n"/>
    </row>
    <row r="15">
      <c r="B15" s="8" t="n">
        <v>7</v>
      </c>
      <c r="C15" s="12" t="inlineStr">
        <is>
          <t>Internal events / disturbance buffers reviewed and archived.</t>
        </is>
      </c>
      <c r="D15" s="5" t="n"/>
      <c r="E15" s="5" t="n"/>
      <c r="F15" s="5" t="n"/>
    </row>
    <row r="17">
      <c r="B17" s="3" t="inlineStr">
        <is>
          <t>8.3 Time synchronisation</t>
        </is>
      </c>
    </row>
    <row r="18">
      <c r="B18" s="6" t="inlineStr">
        <is>
          <t>#</t>
        </is>
      </c>
      <c r="C18" s="6" t="inlineStr">
        <is>
          <t>Check</t>
        </is>
      </c>
      <c r="D18" s="6" t="inlineStr">
        <is>
          <t>Status</t>
        </is>
      </c>
      <c r="E18" s="6" t="inlineStr">
        <is>
          <t>Notes / Value</t>
        </is>
      </c>
      <c r="F18" s="6" t="inlineStr">
        <is>
          <t>Initials</t>
        </is>
      </c>
    </row>
    <row r="19">
      <c r="B19" s="8" t="n">
        <v>8</v>
      </c>
      <c r="C19" s="12" t="inlineStr">
        <is>
          <t>Re-read IED date/time.</t>
        </is>
      </c>
      <c r="D19" s="5" t="n"/>
      <c r="E19" s="5" t="n"/>
      <c r="F19" s="5" t="n"/>
    </row>
    <row r="20">
      <c r="B20" s="8" t="n">
        <v>9</v>
      </c>
      <c r="C20" s="12" t="inlineStr">
        <is>
          <t>If drift outside tolerance, corrected via configured time source.</t>
        </is>
      </c>
      <c r="D20" s="5" t="n"/>
      <c r="E20" s="5" t="n"/>
      <c r="F20" s="5" t="n"/>
    </row>
    <row r="21">
      <c r="B21" s="8" t="n">
        <v>10</v>
      </c>
      <c r="C21" s="12" t="inlineStr">
        <is>
          <t>TIMESYNCHERROR inactive; sync healthy.</t>
        </is>
      </c>
      <c r="D21" s="5" t="n"/>
      <c r="E21" s="5" t="n"/>
      <c r="F21" s="5" t="n"/>
    </row>
    <row r="22">
      <c r="B22" s="8" t="n">
        <v>11</v>
      </c>
      <c r="C22" s="12" t="inlineStr">
        <is>
          <t>Final drift within tolerance.</t>
        </is>
      </c>
      <c r="D22" s="5" t="n"/>
      <c r="E22" s="5" t="n"/>
      <c r="F22" s="5" t="n"/>
    </row>
    <row r="24">
      <c r="B24" s="3" t="inlineStr">
        <is>
          <t>8.4 Plant restoration (REG670-specific)</t>
        </is>
      </c>
    </row>
    <row r="25">
      <c r="B25" s="6" t="inlineStr">
        <is>
          <t>#</t>
        </is>
      </c>
      <c r="C25" s="6" t="inlineStr">
        <is>
          <t>Check</t>
        </is>
      </c>
      <c r="D25" s="6" t="inlineStr">
        <is>
          <t>Status</t>
        </is>
      </c>
      <c r="E25" s="6" t="inlineStr">
        <is>
          <t>Notes / Value</t>
        </is>
      </c>
      <c r="F25" s="6" t="inlineStr">
        <is>
          <t>Initials</t>
        </is>
      </c>
    </row>
    <row r="26">
      <c r="B26" s="8" t="n">
        <v>12</v>
      </c>
      <c r="C26" s="12" t="inlineStr">
        <is>
          <t>Disconnected all test leads from IED terminals.</t>
        </is>
      </c>
      <c r="D26" s="5" t="n"/>
      <c r="E26" s="5" t="n"/>
      <c r="F26" s="5" t="n"/>
    </row>
    <row r="27">
      <c r="B27" s="8" t="n">
        <v>13</v>
      </c>
      <c r="C27" s="12" t="inlineStr">
        <is>
          <t>Replaced all test block links / reinstated VT MCBs.</t>
        </is>
      </c>
      <c r="D27" s="5" t="n"/>
      <c r="E27" s="5" t="n"/>
      <c r="F27" s="5" t="n"/>
    </row>
    <row r="28">
      <c r="B28" s="8" t="n">
        <v>14</v>
      </c>
      <c r="C28" s="12" t="inlineStr">
        <is>
          <t>Removed CT shorting links; verified continuity to source.</t>
        </is>
      </c>
      <c r="D28" s="5" t="n"/>
      <c r="E28" s="5" t="n"/>
      <c r="F28" s="5" t="n"/>
    </row>
    <row r="29">
      <c r="B29" s="8" t="n">
        <v>15</v>
      </c>
      <c r="C29" s="12" t="inlineStr">
        <is>
          <t>Restored trip and lockout output links / re-enabled trips.</t>
        </is>
      </c>
      <c r="D29" s="5" t="n"/>
      <c r="E29" s="5" t="n"/>
      <c r="F29" s="5" t="n"/>
    </row>
    <row r="30">
      <c r="B30" s="8" t="n">
        <v>16</v>
      </c>
      <c r="C30" s="12" t="inlineStr">
        <is>
          <t>Self-supervision "Normal" green LED re-lit and steady.</t>
        </is>
      </c>
      <c r="D30" s="5" t="n"/>
      <c r="E30" s="5" t="n"/>
      <c r="F30" s="5" t="n"/>
    </row>
    <row r="31">
      <c r="B31" s="8" t="n">
        <v>17</v>
      </c>
      <c r="C31" s="12" t="inlineStr">
        <is>
          <t>Cleared any test-mode alarms via LHMI &gt; Clear.</t>
        </is>
      </c>
      <c r="D31" s="5" t="n"/>
      <c r="E31" s="5" t="n"/>
      <c r="F31" s="5" t="n"/>
    </row>
    <row r="32">
      <c r="B32" s="8" t="n">
        <v>18</v>
      </c>
      <c r="C32" s="12" t="inlineStr">
        <is>
          <t>INTERNAL FAIL contact de-energised (healthy).</t>
        </is>
      </c>
      <c r="D32" s="5" t="n"/>
      <c r="E32" s="5" t="n"/>
      <c r="F32" s="5" t="n"/>
    </row>
    <row r="33">
      <c r="B33" s="8" t="n">
        <v>19</v>
      </c>
      <c r="C33" s="12" t="inlineStr">
        <is>
          <t>Active setting group restored to correct group (not test group).</t>
        </is>
      </c>
      <c r="D33" s="5" t="n"/>
      <c r="E33" s="5" t="n"/>
      <c r="F33" s="5" t="n"/>
    </row>
    <row r="34">
      <c r="B34" s="8" t="n">
        <v>20</v>
      </c>
      <c r="C34" s="12" t="inlineStr">
        <is>
          <t>64S/64R injection systems (REX060) re-enabled if blocked.</t>
        </is>
      </c>
      <c r="D34" s="5" t="n"/>
      <c r="E34" s="5" t="n"/>
      <c r="F34" s="5" t="n"/>
    </row>
    <row r="35">
      <c r="B35" s="8" t="n">
        <v>21</v>
      </c>
      <c r="C35" s="12" t="inlineStr">
        <is>
          <t>No targets / alarm LEDs remain active on IED or panel.</t>
        </is>
      </c>
      <c r="D35" s="5" t="n"/>
      <c r="E35" s="5" t="n"/>
      <c r="F35" s="5" t="n"/>
    </row>
    <row r="36">
      <c r="B36" s="8" t="n">
        <v>22</v>
      </c>
      <c r="C36" s="12" t="inlineStr">
        <is>
          <t>SCADA / DCS analogue values match IED metering live.</t>
        </is>
      </c>
      <c r="D36" s="5" t="n"/>
      <c r="E36" s="5" t="n"/>
      <c r="F36" s="5" t="n"/>
    </row>
    <row r="37">
      <c r="B37" s="8" t="n">
        <v>23</v>
      </c>
      <c r="C37" s="12" t="inlineStr">
        <is>
          <t>Re-energised VTs; sensible secondary voltages on IED.</t>
        </is>
      </c>
      <c r="D37" s="5" t="n"/>
      <c r="E37" s="5" t="n"/>
      <c r="F37" s="5" t="n"/>
    </row>
    <row r="38">
      <c r="B38" s="8" t="n">
        <v>24</v>
      </c>
      <c r="C38" s="12" t="inlineStr">
        <is>
          <t>Operations / control room notified work complete.</t>
        </is>
      </c>
      <c r="D38" s="5" t="n"/>
      <c r="E38" s="5" t="n"/>
      <c r="F38" s="5" t="n"/>
    </row>
    <row r="39">
      <c r="B39" s="8" t="n">
        <v>25</v>
      </c>
      <c r="C39" s="12" t="inlineStr">
        <is>
          <t>Permit returned and isolations removed (LOTO removed).</t>
        </is>
      </c>
      <c r="D39" s="5" t="n"/>
      <c r="E39" s="5" t="n"/>
      <c r="F39" s="5" t="n"/>
    </row>
    <row r="41">
      <c r="B41" s="3" t="inlineStr">
        <is>
          <t>8.5 Final self-supervision check</t>
        </is>
      </c>
    </row>
    <row r="42">
      <c r="B42" s="6" t="inlineStr">
        <is>
          <t>#</t>
        </is>
      </c>
      <c r="C42" s="6" t="inlineStr">
        <is>
          <t>Check</t>
        </is>
      </c>
      <c r="D42" s="6" t="inlineStr">
        <is>
          <t>Status</t>
        </is>
      </c>
      <c r="E42" s="6" t="inlineStr">
        <is>
          <t>Notes / Value</t>
        </is>
      </c>
      <c r="F42" s="6" t="inlineStr">
        <is>
          <t>Initials</t>
        </is>
      </c>
    </row>
    <row r="43">
      <c r="B43" s="8" t="n">
        <v>26</v>
      </c>
      <c r="C43" s="12" t="inlineStr">
        <is>
          <t>Diagnostics &gt; IED status &gt; General: no FAIL / WARNING.</t>
        </is>
      </c>
      <c r="D43" s="5" t="n"/>
      <c r="E43" s="5" t="n"/>
      <c r="F43" s="5" t="n"/>
    </row>
    <row r="44">
      <c r="B44" s="8" t="n">
        <v>27</v>
      </c>
      <c r="C44" s="12" t="inlineStr">
        <is>
          <t>"Normal" green LED lit and steady.</t>
        </is>
      </c>
      <c r="D44" s="5" t="n"/>
      <c r="E44" s="5" t="n"/>
      <c r="F44" s="5" t="n"/>
    </row>
    <row r="45">
      <c r="B45" s="8" t="n">
        <v>28</v>
      </c>
      <c r="C45" s="12" t="inlineStr">
        <is>
          <t>IED in service / not in test mode per plant requirements.</t>
        </is>
      </c>
      <c r="D45" s="5" t="n"/>
      <c r="E45" s="5" t="n"/>
      <c r="F45" s="5" t="n"/>
    </row>
    <row r="46">
      <c r="B46" s="8" t="n">
        <v>29</v>
      </c>
      <c r="C46" s="12" t="inlineStr">
        <is>
          <t>Final screenshots captured (status / Measurements / LEDs).</t>
        </is>
      </c>
      <c r="D46" s="5" t="n"/>
      <c r="E46" s="5" t="n"/>
      <c r="F46" s="5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F4E79"/>
    <outlinePr summaryBelow="1" summaryRight="1"/>
    <pageSetUpPr/>
  </sheetPr>
  <dimension ref="B2:E3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26" customWidth="1" min="3" max="3"/>
    <col width="14" customWidth="1" min="4" max="4"/>
    <col width="12" customWidth="1" min="5" max="5"/>
  </cols>
  <sheetData>
    <row r="2">
      <c r="B2" s="1" t="inlineStr">
        <is>
          <t>Findings Log &amp; Sign-Off</t>
        </is>
      </c>
    </row>
    <row r="4">
      <c r="B4" s="3" t="inlineStr">
        <is>
          <t>Findings, Defects &amp; Recommendations (detailed log)</t>
        </is>
      </c>
    </row>
    <row r="5">
      <c r="B5" s="6" t="inlineStr">
        <is>
          <t>#</t>
        </is>
      </c>
      <c r="C5" s="6" t="inlineStr">
        <is>
          <t>Finding / Defect</t>
        </is>
      </c>
      <c r="D5" s="6" t="inlineStr">
        <is>
          <t>Severity</t>
        </is>
      </c>
      <c r="E5" s="6" t="inlineStr">
        <is>
          <t>Closed?</t>
        </is>
      </c>
    </row>
    <row r="6">
      <c r="B6" s="8" t="n">
        <v>1</v>
      </c>
      <c r="C6" s="5" t="n"/>
      <c r="D6" s="5" t="n"/>
      <c r="E6" s="5" t="n"/>
    </row>
    <row r="7">
      <c r="B7" s="8" t="n">
        <v>2</v>
      </c>
      <c r="C7" s="5" t="n"/>
      <c r="D7" s="5" t="n"/>
      <c r="E7" s="5" t="n"/>
    </row>
    <row r="8">
      <c r="B8" s="8" t="n">
        <v>3</v>
      </c>
      <c r="C8" s="5" t="n"/>
      <c r="D8" s="5" t="n"/>
      <c r="E8" s="5" t="n"/>
    </row>
    <row r="9">
      <c r="B9" s="8" t="n">
        <v>4</v>
      </c>
      <c r="C9" s="5" t="n"/>
      <c r="D9" s="5" t="n"/>
      <c r="E9" s="5" t="n"/>
    </row>
    <row r="10">
      <c r="B10" s="8" t="n">
        <v>5</v>
      </c>
      <c r="C10" s="5" t="n"/>
      <c r="D10" s="5" t="n"/>
      <c r="E10" s="5" t="n"/>
    </row>
    <row r="11">
      <c r="B11" s="8" t="n">
        <v>6</v>
      </c>
      <c r="C11" s="5" t="n"/>
      <c r="D11" s="5" t="n"/>
      <c r="E11" s="5" t="n"/>
    </row>
    <row r="12">
      <c r="B12" s="8" t="n">
        <v>7</v>
      </c>
      <c r="C12" s="5" t="n"/>
      <c r="D12" s="5" t="n"/>
      <c r="E12" s="5" t="n"/>
    </row>
    <row r="13">
      <c r="B13" s="8" t="n">
        <v>8</v>
      </c>
      <c r="C13" s="5" t="n"/>
      <c r="D13" s="5" t="n"/>
      <c r="E13" s="5" t="n"/>
    </row>
    <row r="16">
      <c r="B16" s="3" t="inlineStr">
        <is>
          <t>Test Files Index</t>
        </is>
      </c>
    </row>
    <row r="17">
      <c r="B17" s="6" t="inlineStr">
        <is>
          <t>File type</t>
        </is>
      </c>
      <c r="C17" s="6" t="inlineStr">
        <is>
          <t>File name</t>
        </is>
      </c>
      <c r="D17" s="6" t="inlineStr">
        <is>
          <t>Location</t>
        </is>
      </c>
    </row>
    <row r="18">
      <c r="B18" s="4" t="inlineStr">
        <is>
          <t>Events (EVE)</t>
        </is>
      </c>
      <c r="C18" s="5" t="n"/>
      <c r="D18" s="5" t="n"/>
    </row>
    <row r="19">
      <c r="B19" s="4" t="inlineStr">
        <is>
          <t>Disturbance records (DRPRDRE)</t>
        </is>
      </c>
      <c r="C19" s="5" t="n"/>
      <c r="D19" s="5" t="n"/>
    </row>
    <row r="20">
      <c r="B20" s="4" t="inlineStr">
        <is>
          <t>Internal events list</t>
        </is>
      </c>
      <c r="C20" s="5" t="n"/>
      <c r="D20" s="5" t="n"/>
    </row>
    <row r="21">
      <c r="B21" s="4" t="inlineStr">
        <is>
          <t>As-found PCM600 project</t>
        </is>
      </c>
      <c r="C21" s="5" t="n"/>
      <c r="D21" s="5" t="n"/>
    </row>
    <row r="22">
      <c r="B22" s="4" t="inlineStr">
        <is>
          <t>As-left PCM600 project</t>
        </is>
      </c>
      <c r="C22" s="5" t="n"/>
      <c r="D22" s="5" t="n"/>
    </row>
    <row r="23">
      <c r="B23" s="4" t="inlineStr">
        <is>
          <t>Omicron test file (.occ)</t>
        </is>
      </c>
      <c r="C23" s="5" t="n"/>
      <c r="D23" s="5" t="n"/>
    </row>
    <row r="24">
      <c r="B24" s="4" t="inlineStr">
        <is>
          <t>Screenshots</t>
        </is>
      </c>
      <c r="C24" s="5" t="n"/>
      <c r="D24" s="5" t="n"/>
    </row>
    <row r="26">
      <c r="B26" s="3" t="inlineStr">
        <is>
          <t>Sign-Off</t>
        </is>
      </c>
    </row>
    <row r="27">
      <c r="B27" s="4" t="inlineStr">
        <is>
          <t>Tester name</t>
        </is>
      </c>
      <c r="C27" s="5" t="n"/>
    </row>
    <row r="28">
      <c r="B28" s="4" t="inlineStr">
        <is>
          <t>Tester signature</t>
        </is>
      </c>
      <c r="C28" s="5" t="n"/>
    </row>
    <row r="29">
      <c r="B29" s="4" t="inlineStr">
        <is>
          <t>Date</t>
        </is>
      </c>
      <c r="C29" s="5" t="n"/>
    </row>
    <row r="30">
      <c r="B30" s="4" t="inlineStr">
        <is>
          <t>Witness name</t>
        </is>
      </c>
      <c r="C30" s="5" t="n"/>
    </row>
    <row r="31">
      <c r="B31" s="4" t="inlineStr">
        <is>
          <t>Witness signature</t>
        </is>
      </c>
      <c r="C31" s="5" t="n"/>
    </row>
    <row r="32">
      <c r="B32" s="4" t="inlineStr">
        <is>
          <t>Date</t>
        </is>
      </c>
      <c r="C32" s="5" t="n"/>
    </row>
    <row r="33">
      <c r="B33" s="4" t="inlineStr">
        <is>
          <t>Authorising engineer (acceptance)</t>
        </is>
      </c>
      <c r="C33" s="5" t="n"/>
    </row>
    <row r="34">
      <c r="B34" s="4" t="inlineStr">
        <is>
          <t>Signature</t>
        </is>
      </c>
      <c r="C34" s="5" t="n"/>
    </row>
    <row r="35">
      <c r="B35" s="4" t="inlineStr">
        <is>
          <t>Date</t>
        </is>
      </c>
      <c r="C35" s="5" t="n"/>
    </row>
    <row r="36">
      <c r="B36" s="4" t="inlineStr">
        <is>
          <t>Overall test result (from Cover sheet)</t>
        </is>
      </c>
      <c r="C36" s="16">
        <f>'1. Cover'!C5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2026-06-01T22:03:10Z</dcterms:created>
  <dcterms:modified xmlns:dcterms="http://purl.org/dc/terms/" xmlns:xsi="http://www.w3.org/2001/XMLSchema-instance" xsi:type="dcterms:W3CDTF">2026-06-01T22:03:10Z</dcterms:modified>
</cp:coreProperties>
</file>