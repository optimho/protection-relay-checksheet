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Equip &amp; Refs" sheetId="2" state="visible" r:id="rId2"/>
    <sheet xmlns:r="http://schemas.openxmlformats.org/officeDocument/2006/relationships" name="3. Pre-Test" sheetId="3" state="visible" r:id="rId3"/>
    <sheet xmlns:r="http://schemas.openxmlformats.org/officeDocument/2006/relationships" name="4. Analogue Inputs" sheetId="4" state="visible" r:id="rId4"/>
    <sheet xmlns:r="http://schemas.openxmlformats.org/officeDocument/2006/relationships" name="5. Binary IO" sheetId="5" state="visible" r:id="rId5"/>
    <sheet xmlns:r="http://schemas.openxmlformats.org/officeDocument/2006/relationships" name="6. Element Tracker" sheetId="6" state="visible" r:id="rId6"/>
    <sheet xmlns:r="http://schemas.openxmlformats.org/officeDocument/2006/relationships" name="7. Element Results" sheetId="7" state="visible" r:id="rId7"/>
    <sheet xmlns:r="http://schemas.openxmlformats.org/officeDocument/2006/relationships" name="8. Post-Test" sheetId="8" state="visible" r:id="rId8"/>
    <sheet xmlns:r="http://schemas.openxmlformats.org/officeDocument/2006/relationships" name="9. Files &amp; Sign-Off" sheetId="9" state="visible" r:id="rId9"/>
  </sheets>
  <definedNames>
    <definedName name="Ratio_CTR1">'1. Cover'!$C$22/'1. Cover'!$C$23</definedName>
    <definedName name="Ratio_CTR2">'1. Cover'!$C$24/'1. Cover'!$C$25</definedName>
    <definedName name="Ratio_CTRN">'1. Cover'!$C$26/'1. Cover'!$C$27</definedName>
    <definedName name="Ratio_PTR">'1. Cover'!$C$28/'1. Cover'!$C$29</definedName>
    <definedName name="TolV_pct">'1. Cover'!$B$37</definedName>
    <definedName name="TolI_pct">'1. Cover'!$B$38</definedName>
    <definedName name="TolAngle_deg">'1. Cover'!$B$39</definedName>
    <definedName name="TolPickup_pct">'1. Cover'!$B$40</definedName>
    <definedName name="TolTime_pct">'1. Cover'!$B$41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FF"/>
      <sz val="11"/>
    </font>
    <font>
      <name val="Calibri"/>
      <b val="1"/>
      <color rgb="00FFFFFF"/>
      <sz val="10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0000FF"/>
      <sz val="12"/>
    </font>
    <font>
      <name val="Calibri"/>
      <i val="1"/>
      <color rgb="00000000"/>
      <sz val="10"/>
    </font>
    <font>
      <name val="Calibri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FF8E7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SEL-787 TRANSFORMER PROTECTION RELAY — TEST RESULTS TEMPLATE</t>
        </is>
      </c>
    </row>
    <row r="3">
      <c r="A3" s="2" t="inlineStr">
        <is>
          <t>1.  RELAY IDENTIFICATION</t>
        </is>
      </c>
    </row>
    <row r="4">
      <c r="A4" s="3" t="inlineStr">
        <is>
          <t>Relay Type / Model</t>
        </is>
      </c>
      <c r="B4" s="4" t="inlineStr">
        <is>
          <t>SEL-787</t>
        </is>
      </c>
    </row>
    <row r="5">
      <c r="A5" s="3" t="inlineStr">
        <is>
          <t>Relay ID (RID)</t>
        </is>
      </c>
      <c r="B5" s="4" t="inlineStr"/>
    </row>
    <row r="6">
      <c r="A6" s="3" t="inlineStr">
        <is>
          <t>Terminal ID (TID)</t>
        </is>
      </c>
      <c r="B6" s="4" t="inlineStr"/>
    </row>
    <row r="7">
      <c r="A7" s="3" t="inlineStr">
        <is>
          <t>Serial Number</t>
        </is>
      </c>
      <c r="B7" s="4" t="inlineStr"/>
    </row>
    <row r="8">
      <c r="A8" s="3" t="inlineStr">
        <is>
          <t>Firmware ID (FID)</t>
        </is>
      </c>
      <c r="B8" s="4" t="inlineStr"/>
    </row>
    <row r="9">
      <c r="A9" s="3" t="inlineStr">
        <is>
          <t>Checksum ID (CID)</t>
        </is>
      </c>
      <c r="B9" s="4" t="inlineStr"/>
    </row>
    <row r="10">
      <c r="A10" s="3" t="inlineStr">
        <is>
          <t>Protected Equipment (transformer tag)</t>
        </is>
      </c>
      <c r="B10" s="4" t="inlineStr"/>
    </row>
    <row r="11">
      <c r="A11" s="3" t="inlineStr">
        <is>
          <t>Site / Substation</t>
        </is>
      </c>
      <c r="B11" s="4" t="inlineStr"/>
    </row>
    <row r="12">
      <c r="A12" s="3" t="inlineStr">
        <is>
          <t>Test Date</t>
        </is>
      </c>
      <c r="B12" s="4" t="inlineStr"/>
    </row>
    <row r="13">
      <c r="A13" s="3" t="inlineStr">
        <is>
          <t>Test Engineer</t>
        </is>
      </c>
      <c r="B13" s="4" t="inlineStr"/>
    </row>
    <row r="15">
      <c r="A15" s="2" t="inlineStr">
        <is>
          <t>2.  TRANSFORMER AND CT/VT PARAMETERS</t>
        </is>
      </c>
    </row>
    <row r="16">
      <c r="A16" s="5" t="inlineStr">
        <is>
          <t>Parameter</t>
        </is>
      </c>
      <c r="B16" s="5" t="inlineStr">
        <is>
          <t>Setting Label</t>
        </is>
      </c>
      <c r="C16" s="5" t="inlineStr">
        <is>
          <t>Value</t>
        </is>
      </c>
      <c r="D16" s="5" t="inlineStr">
        <is>
          <t>Units</t>
        </is>
      </c>
      <c r="E16" s="5" t="inlineStr"/>
      <c r="F16" s="5" t="inlineStr"/>
    </row>
    <row r="17">
      <c r="A17" s="3" t="inlineStr">
        <is>
          <t>Transformer MVA Rating</t>
        </is>
      </c>
      <c r="B17" s="6" t="inlineStr">
        <is>
          <t>MVA</t>
        </is>
      </c>
      <c r="C17" s="4" t="inlineStr"/>
      <c r="D17" s="7" t="inlineStr">
        <is>
          <t>MVA</t>
        </is>
      </c>
      <c r="E17" s="8" t="n"/>
      <c r="F17" s="8" t="n"/>
    </row>
    <row r="18">
      <c r="A18" s="3" t="inlineStr">
        <is>
          <t>Winding 1 Nominal Voltage (L-L)</t>
        </is>
      </c>
      <c r="B18" s="6" t="inlineStr">
        <is>
          <t>VWDG1</t>
        </is>
      </c>
      <c r="C18" s="4" t="inlineStr"/>
      <c r="D18" s="7" t="inlineStr">
        <is>
          <t>kV</t>
        </is>
      </c>
      <c r="E18" s="8" t="n"/>
      <c r="F18" s="8" t="n"/>
    </row>
    <row r="19">
      <c r="A19" s="3" t="inlineStr">
        <is>
          <t>Winding 2 Nominal Voltage (L-L)</t>
        </is>
      </c>
      <c r="B19" s="6" t="inlineStr">
        <is>
          <t>VWDG2</t>
        </is>
      </c>
      <c r="C19" s="4" t="inlineStr"/>
      <c r="D19" s="7" t="inlineStr">
        <is>
          <t>kV</t>
        </is>
      </c>
      <c r="E19" s="8" t="n"/>
      <c r="F19" s="8" t="n"/>
    </row>
    <row r="20">
      <c r="A20" s="3" t="inlineStr">
        <is>
          <t>Winding 1 CT Connection</t>
        </is>
      </c>
      <c r="B20" s="6" t="inlineStr">
        <is>
          <t>W1CT</t>
        </is>
      </c>
      <c r="C20" s="4" t="inlineStr">
        <is>
          <t>WYE</t>
        </is>
      </c>
      <c r="D20" s="7" t="inlineStr">
        <is>
          <t>WYE / DELTA</t>
        </is>
      </c>
      <c r="E20" s="8" t="n"/>
      <c r="F20" s="8" t="n"/>
    </row>
    <row r="21">
      <c r="A21" s="3" t="inlineStr">
        <is>
          <t>Winding 2 CT Connection</t>
        </is>
      </c>
      <c r="B21" s="6" t="inlineStr">
        <is>
          <t>W2CT</t>
        </is>
      </c>
      <c r="C21" s="4" t="inlineStr">
        <is>
          <t>WYE</t>
        </is>
      </c>
      <c r="D21" s="7" t="inlineStr">
        <is>
          <t>WYE / DELTA</t>
        </is>
      </c>
      <c r="E21" s="8" t="n"/>
      <c r="F21" s="8" t="n"/>
    </row>
    <row r="22">
      <c r="A22" s="3" t="inlineStr">
        <is>
          <t>W1 CT Ratio — Primary</t>
        </is>
      </c>
      <c r="B22" s="6" t="inlineStr">
        <is>
          <t>CTR1 (primary)</t>
        </is>
      </c>
      <c r="C22" s="4" t="inlineStr"/>
      <c r="D22" s="7" t="inlineStr">
        <is>
          <t>A primary</t>
        </is>
      </c>
      <c r="E22" s="8" t="n"/>
      <c r="F22" s="8" t="n"/>
    </row>
    <row r="23">
      <c r="A23" s="3" t="inlineStr">
        <is>
          <t>W1 CT Ratio — Secondary</t>
        </is>
      </c>
      <c r="B23" s="6" t="inlineStr">
        <is>
          <t>CTR1 (secondary)</t>
        </is>
      </c>
      <c r="C23" s="4" t="inlineStr">
        <is>
          <t>5</t>
        </is>
      </c>
      <c r="D23" s="7" t="inlineStr">
        <is>
          <t>A secondary</t>
        </is>
      </c>
      <c r="E23" s="8" t="n"/>
      <c r="F23" s="8" t="n"/>
    </row>
    <row r="24">
      <c r="A24" s="3" t="inlineStr">
        <is>
          <t>W2 CT Ratio — Primary</t>
        </is>
      </c>
      <c r="B24" s="6" t="inlineStr">
        <is>
          <t>CTR2 (primary)</t>
        </is>
      </c>
      <c r="C24" s="4" t="inlineStr"/>
      <c r="D24" s="7" t="inlineStr">
        <is>
          <t>A primary</t>
        </is>
      </c>
      <c r="E24" s="8" t="n"/>
      <c r="F24" s="8" t="n"/>
    </row>
    <row r="25">
      <c r="A25" s="3" t="inlineStr">
        <is>
          <t>W2 CT Ratio — Secondary</t>
        </is>
      </c>
      <c r="B25" s="6" t="inlineStr">
        <is>
          <t>CTR2 (secondary)</t>
        </is>
      </c>
      <c r="C25" s="4" t="inlineStr">
        <is>
          <t>5</t>
        </is>
      </c>
      <c r="D25" s="7" t="inlineStr">
        <is>
          <t>A secondary</t>
        </is>
      </c>
      <c r="E25" s="8" t="n"/>
      <c r="F25" s="8" t="n"/>
    </row>
    <row r="26">
      <c r="A26" s="3" t="inlineStr">
        <is>
          <t>Neutral CT Ratio — Primary</t>
        </is>
      </c>
      <c r="B26" s="6" t="inlineStr">
        <is>
          <t>CTRN (primary)</t>
        </is>
      </c>
      <c r="C26" s="4" t="inlineStr"/>
      <c r="D26" s="7" t="inlineStr">
        <is>
          <t>A primary</t>
        </is>
      </c>
      <c r="E26" s="8" t="n"/>
      <c r="F26" s="8" t="n"/>
    </row>
    <row r="27">
      <c r="A27" s="3" t="inlineStr">
        <is>
          <t>Neutral CT Ratio — Secondary</t>
        </is>
      </c>
      <c r="B27" s="6" t="inlineStr">
        <is>
          <t>CTRN (secondary)</t>
        </is>
      </c>
      <c r="C27" s="4" t="inlineStr">
        <is>
          <t>5</t>
        </is>
      </c>
      <c r="D27" s="7" t="inlineStr">
        <is>
          <t>A secondary</t>
        </is>
      </c>
      <c r="E27" s="8" t="n"/>
      <c r="F27" s="8" t="n"/>
    </row>
    <row r="28">
      <c r="A28" s="3" t="inlineStr">
        <is>
          <t>VT Ratio — Primary</t>
        </is>
      </c>
      <c r="B28" s="6" t="inlineStr">
        <is>
          <t>PTR (primary)</t>
        </is>
      </c>
      <c r="C28" s="4" t="inlineStr"/>
      <c r="D28" s="7" t="inlineStr">
        <is>
          <t>V primary</t>
        </is>
      </c>
      <c r="E28" s="8" t="n"/>
      <c r="F28" s="8" t="n"/>
    </row>
    <row r="29">
      <c r="A29" s="3" t="inlineStr">
        <is>
          <t>VT Ratio — Secondary</t>
        </is>
      </c>
      <c r="B29" s="6" t="inlineStr">
        <is>
          <t>PTR (secondary)</t>
        </is>
      </c>
      <c r="C29" s="4" t="inlineStr"/>
      <c r="D29" s="7" t="inlineStr">
        <is>
          <t>V secondary</t>
        </is>
      </c>
      <c r="E29" s="8" t="n"/>
      <c r="F29" s="8" t="n"/>
    </row>
    <row r="30">
      <c r="A30" s="3" t="inlineStr">
        <is>
          <t>VT Connection Type</t>
        </is>
      </c>
      <c r="B30" s="6" t="inlineStr">
        <is>
          <t>DELTA_Y</t>
        </is>
      </c>
      <c r="C30" s="4" t="inlineStr">
        <is>
          <t>WYE</t>
        </is>
      </c>
      <c r="D30" s="7" t="inlineStr">
        <is>
          <t>WYE / DELTA</t>
        </is>
      </c>
      <c r="E30" s="8" t="n"/>
      <c r="F30" s="8" t="n"/>
    </row>
    <row r="31">
      <c r="A31" s="3" t="inlineStr">
        <is>
          <t>Diff. TAP Winding 1</t>
        </is>
      </c>
      <c r="B31" s="6" t="inlineStr">
        <is>
          <t>TAP1</t>
        </is>
      </c>
      <c r="C31" s="4" t="inlineStr"/>
      <c r="D31" s="7" t="inlineStr">
        <is>
          <t>A secondary</t>
        </is>
      </c>
      <c r="E31" s="8" t="n"/>
      <c r="F31" s="8" t="n"/>
    </row>
    <row r="32">
      <c r="A32" s="3" t="inlineStr">
        <is>
          <t>Diff. TAP Winding 2</t>
        </is>
      </c>
      <c r="B32" s="6" t="inlineStr">
        <is>
          <t>TAP2</t>
        </is>
      </c>
      <c r="C32" s="4" t="inlineStr"/>
      <c r="D32" s="7" t="inlineStr">
        <is>
          <t>A secondary</t>
        </is>
      </c>
      <c r="E32" s="8" t="n"/>
      <c r="F32" s="8" t="n"/>
    </row>
    <row r="33">
      <c r="A33" s="3" t="inlineStr">
        <is>
          <t>W1 CT Connection Compensation</t>
        </is>
      </c>
      <c r="B33" s="6" t="inlineStr">
        <is>
          <t>W1CTC</t>
        </is>
      </c>
      <c r="C33" s="4" t="inlineStr"/>
      <c r="D33" s="7" t="inlineStr">
        <is>
          <t>0 = none</t>
        </is>
      </c>
      <c r="E33" s="8" t="n"/>
      <c r="F33" s="8" t="n"/>
    </row>
    <row r="34">
      <c r="A34" s="3" t="inlineStr">
        <is>
          <t>W2 CT Connection Compensation</t>
        </is>
      </c>
      <c r="B34" s="6" t="inlineStr">
        <is>
          <t>W2CTC</t>
        </is>
      </c>
      <c r="C34" s="4" t="inlineStr"/>
      <c r="D34" s="7" t="inlineStr">
        <is>
          <t>0 = none</t>
        </is>
      </c>
      <c r="E34" s="8" t="n"/>
      <c r="F34" s="8" t="n"/>
    </row>
    <row r="36">
      <c r="A36" s="2" t="inlineStr">
        <is>
          <t>3.  TEST TOLERANCES  (yellow cells are editable)</t>
        </is>
      </c>
    </row>
    <row r="37">
      <c r="A37" s="3" t="inlineStr">
        <is>
          <t>Voltage Magnitude Tolerance</t>
        </is>
      </c>
      <c r="B37" s="9" t="n">
        <v>1</v>
      </c>
      <c r="C37" s="7" t="inlineStr">
        <is>
          <t>%</t>
        </is>
      </c>
      <c r="D37" s="8" t="n"/>
      <c r="E37" s="8" t="n"/>
      <c r="F37" s="8" t="n"/>
    </row>
    <row r="38">
      <c r="A38" s="3" t="inlineStr">
        <is>
          <t>Current Magnitude Tolerance</t>
        </is>
      </c>
      <c r="B38" s="9" t="n">
        <v>1</v>
      </c>
      <c r="C38" s="7" t="inlineStr">
        <is>
          <t>%</t>
        </is>
      </c>
      <c r="D38" s="8" t="n"/>
      <c r="E38" s="8" t="n"/>
      <c r="F38" s="8" t="n"/>
    </row>
    <row r="39">
      <c r="A39" s="3" t="inlineStr">
        <is>
          <t>Angle Tolerance</t>
        </is>
      </c>
      <c r="B39" s="9" t="n">
        <v>2</v>
      </c>
      <c r="C39" s="7" t="inlineStr">
        <is>
          <t>degrees</t>
        </is>
      </c>
      <c r="D39" s="8" t="n"/>
      <c r="E39" s="8" t="n"/>
      <c r="F39" s="8" t="n"/>
    </row>
    <row r="40">
      <c r="A40" s="3" t="inlineStr">
        <is>
          <t>Pickup Tolerance</t>
        </is>
      </c>
      <c r="B40" s="9" t="n">
        <v>5</v>
      </c>
      <c r="C40" s="7" t="inlineStr">
        <is>
          <t>%</t>
        </is>
      </c>
      <c r="D40" s="8" t="n"/>
      <c r="E40" s="8" t="n"/>
      <c r="F40" s="8" t="n"/>
    </row>
    <row r="41">
      <c r="A41" s="3" t="inlineStr">
        <is>
          <t>Timing Tolerance</t>
        </is>
      </c>
      <c r="B41" s="9" t="n">
        <v>5</v>
      </c>
      <c r="C41" s="7" t="inlineStr">
        <is>
          <t>%</t>
        </is>
      </c>
      <c r="D41" s="8" t="n"/>
      <c r="E41" s="8" t="n"/>
      <c r="F41" s="8" t="n"/>
    </row>
    <row r="43">
      <c r="A43" s="2" t="inlineStr">
        <is>
          <t>4.  OVERALL TEST RESULT</t>
        </is>
      </c>
    </row>
    <row r="44">
      <c r="A44" s="3" t="inlineStr">
        <is>
          <t>Auto-calculated cross-check</t>
        </is>
      </c>
      <c r="B44" s="10">
        <f>IF(COUNTIF('4. Analogue Inputs'!M:M,"FAIL")+COUNTIF('7. Element Results'!G:G,"FAIL")&gt;0,"FAIL",IF(COUNTIF('4. Analogue Inputs'!M:M,"PASS")+COUNTIF('7. Element Results'!G:G,"PASS")&gt;0,"PASS","INCOMPLETE"))</f>
        <v/>
      </c>
      <c r="C44" s="11" t="n"/>
      <c r="D44" s="12" t="n"/>
      <c r="E44" s="7" t="inlineStr">
        <is>
          <t>(auto only — see signed result)</t>
        </is>
      </c>
    </row>
    <row r="45">
      <c r="A45" s="13" t="inlineStr">
        <is>
          <t>SIGNED OVERALL RESULT</t>
        </is>
      </c>
      <c r="B45" s="14" t="inlineStr">
        <is>
          <t>PASS</t>
        </is>
      </c>
      <c r="C45" s="11" t="n"/>
      <c r="D45" s="12" t="n"/>
      <c r="E45" s="7" t="inlineStr">
        <is>
          <t>PASS / PASS WITH NOTES / FAIL</t>
        </is>
      </c>
    </row>
  </sheetData>
  <mergeCells count="19">
    <mergeCell ref="B4:F4"/>
    <mergeCell ref="B7:F7"/>
    <mergeCell ref="B44:D44"/>
    <mergeCell ref="A3:F3"/>
    <mergeCell ref="E44:F44"/>
    <mergeCell ref="B12:F12"/>
    <mergeCell ref="B11:F11"/>
    <mergeCell ref="B8:F8"/>
    <mergeCell ref="B13:F13"/>
    <mergeCell ref="A43:F43"/>
    <mergeCell ref="B45:D45"/>
    <mergeCell ref="B10:F10"/>
    <mergeCell ref="E45:F45"/>
    <mergeCell ref="A15:F15"/>
    <mergeCell ref="B9:F9"/>
    <mergeCell ref="B6:F6"/>
    <mergeCell ref="A36:F36"/>
    <mergeCell ref="A1:F1"/>
    <mergeCell ref="B5:F5"/>
  </mergeCells>
  <dataValidations count="1">
    <dataValidation sqref="B45" showDropDown="0" showInputMessage="0" showErrorMessage="0" allowBlank="0" type="list">
      <formula1>"PASS,PASS WITH NOTES,FAIL"</formula1>
    </dataValidation>
  </dataValidations>
  <pageMargins left="0.4" right="0.4" top="0.6" bottom="0.6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16" customWidth="1" min="4" max="4"/>
  </cols>
  <sheetData>
    <row r="1" ht="26" customHeight="1">
      <c r="A1" s="1" t="inlineStr">
        <is>
          <t>EQUIPMENT &amp; REFERENCES</t>
        </is>
      </c>
    </row>
    <row r="3">
      <c r="A3" s="2" t="inlineStr">
        <is>
          <t>TEST EQUIPMENT USED</t>
        </is>
      </c>
    </row>
    <row r="4">
      <c r="A4" s="5" t="inlineStr">
        <is>
          <t>Equipment</t>
        </is>
      </c>
      <c r="B4" s="5" t="inlineStr">
        <is>
          <t>Manufacturer / Model</t>
        </is>
      </c>
      <c r="C4" s="5" t="inlineStr">
        <is>
          <t>Asset / Serial No.</t>
        </is>
      </c>
      <c r="D4" s="5" t="inlineStr">
        <is>
          <t>Cal. Due</t>
        </is>
      </c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2">
      <c r="A12" s="2" t="inlineStr">
        <is>
          <t>DOCUMENTS &amp; DRAWINGS</t>
        </is>
      </c>
    </row>
    <row r="13">
      <c r="A13" s="5" t="inlineStr">
        <is>
          <t>Document</t>
        </is>
      </c>
      <c r="B13" s="5" t="inlineStr">
        <is>
          <t>Title / Description</t>
        </is>
      </c>
      <c r="C13" s="5" t="inlineStr">
        <is>
          <t>Document No.</t>
        </is>
      </c>
      <c r="D13" s="5" t="inlineStr">
        <is>
          <t>Rev</t>
        </is>
      </c>
    </row>
    <row r="14">
      <c r="A14" s="3" t="inlineStr">
        <is>
          <t>Relay Settings File (.sel / QuickSet)</t>
        </is>
      </c>
      <c r="B14" s="4" t="n"/>
      <c r="C14" s="4" t="n"/>
      <c r="D14" s="4" t="n"/>
    </row>
    <row r="15">
      <c r="A15" s="3" t="inlineStr">
        <is>
          <t>AC Elementary / Schematic</t>
        </is>
      </c>
      <c r="B15" s="4" t="n"/>
      <c r="C15" s="4" t="n"/>
      <c r="D15" s="4" t="n"/>
    </row>
    <row r="16">
      <c r="A16" s="3" t="inlineStr">
        <is>
          <t>DC Control Schematic</t>
        </is>
      </c>
      <c r="B16" s="4" t="n"/>
      <c r="C16" s="4" t="n"/>
      <c r="D16" s="4" t="n"/>
    </row>
    <row r="17">
      <c r="A17" s="3" t="inlineStr">
        <is>
          <t>Relay Panel Wiring Diagram</t>
        </is>
      </c>
      <c r="B17" s="4" t="n"/>
      <c r="C17" s="4" t="n"/>
      <c r="D17" s="4" t="n"/>
    </row>
    <row r="18">
      <c r="A18" s="3" t="inlineStr">
        <is>
          <t>Protection Coordination Study</t>
        </is>
      </c>
      <c r="B18" s="4" t="n"/>
      <c r="C18" s="4" t="n"/>
      <c r="D18" s="4" t="n"/>
    </row>
    <row r="19">
      <c r="A19" s="3" t="inlineStr">
        <is>
          <t>Maintenance Work Order</t>
        </is>
      </c>
      <c r="B19" s="4" t="n"/>
      <c r="C19" s="4" t="n"/>
      <c r="D19" s="4" t="n"/>
    </row>
  </sheetData>
  <mergeCells count="3">
    <mergeCell ref="A1:D1"/>
    <mergeCell ref="A12:D12"/>
    <mergeCell ref="A3:D3"/>
  </mergeCells>
  <pageMargins left="0.4" right="0.4" top="0.6" bottom="0.6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6" customWidth="1" min="3" max="3"/>
    <col width="22" customWidth="1" min="4" max="4"/>
  </cols>
  <sheetData>
    <row r="1" ht="26" customHeight="1">
      <c r="A1" s="1" t="inlineStr">
        <is>
          <t>PRE-TEST CHECKS</t>
        </is>
      </c>
    </row>
    <row r="3">
      <c r="A3" s="2" t="inlineStr">
        <is>
          <t>3.1  COMMUNICATIONS &amp; IDENTIFICATION</t>
        </is>
      </c>
    </row>
    <row r="4">
      <c r="A4" s="5" t="inlineStr">
        <is>
          <t>Check</t>
        </is>
      </c>
      <c r="B4" s="5" t="inlineStr">
        <is>
          <t>Expected / Action</t>
        </is>
      </c>
      <c r="C4" s="5" t="inlineStr">
        <is>
          <t>Result</t>
        </is>
      </c>
      <c r="D4" s="5" t="inlineStr">
        <is>
          <t>Notes</t>
        </is>
      </c>
    </row>
    <row r="5">
      <c r="A5" s="3" t="inlineStr">
        <is>
          <t>Connect serial cable (SEL-C662) or Ethernet to relay</t>
        </is>
      </c>
      <c r="B5" s="6" t="inlineStr">
        <is>
          <t>Terminal prompt '=' or '-' appears</t>
        </is>
      </c>
      <c r="C5" s="4" t="n"/>
      <c r="D5" s="4" t="n"/>
    </row>
    <row r="6">
      <c r="A6" s="3" t="inlineStr">
        <is>
          <t>Issue QUIT &lt;Enter&gt; — verify response header</t>
        </is>
      </c>
      <c r="B6" s="6" t="inlineStr">
        <is>
          <t>RID and TID match asset register</t>
        </is>
      </c>
      <c r="C6" s="4" t="n"/>
      <c r="D6" s="4" t="n"/>
    </row>
    <row r="7">
      <c r="A7" s="3" t="inlineStr">
        <is>
          <t>Issue ACC &lt;Enter&gt; + Level 1 password</t>
        </is>
      </c>
      <c r="B7" s="6" t="inlineStr">
        <is>
          <t>Access Level 1 granted</t>
        </is>
      </c>
      <c r="C7" s="4" t="n"/>
      <c r="D7" s="4" t="n"/>
    </row>
    <row r="8">
      <c r="A8" s="3" t="inlineStr">
        <is>
          <t>ENABLED LED illuminated (green, front panel)</t>
        </is>
      </c>
      <c r="B8" s="6" t="inlineStr">
        <is>
          <t>LED ON = relay healthy and in service</t>
        </is>
      </c>
      <c r="C8" s="4" t="n"/>
      <c r="D8" s="4" t="n"/>
    </row>
    <row r="9">
      <c r="A9" s="3" t="inlineStr">
        <is>
          <t>Firmware ID (FID) — record string</t>
        </is>
      </c>
      <c r="B9" s="6" t="inlineStr">
        <is>
          <t>Matches approved firmware version</t>
        </is>
      </c>
      <c r="C9" s="4" t="n"/>
      <c r="D9" s="4" t="n"/>
    </row>
    <row r="10">
      <c r="A10" s="3" t="inlineStr">
        <is>
          <t>Checksum ID (CID) — record string</t>
        </is>
      </c>
      <c r="B10" s="6" t="inlineStr">
        <is>
          <t>Matches as-left checksum from last test</t>
        </is>
      </c>
      <c r="C10" s="4" t="n"/>
      <c r="D10" s="4" t="n"/>
    </row>
    <row r="12">
      <c r="A12" s="2" t="inlineStr">
        <is>
          <t>3.2  RELAY SELF-TEST STATUS  (issue STA &lt;Enter&gt; at serial port)</t>
        </is>
      </c>
    </row>
    <row r="13" ht="36" customHeight="1">
      <c r="A13" s="15" t="inlineStr">
        <is>
          <t>All items should show OK. WARN items require STA C to clear; persistent FAIL items require relay replacement / SEL support. Record measured voltages for power supply rails.</t>
        </is>
      </c>
    </row>
    <row r="14">
      <c r="A14" s="5" t="inlineStr">
        <is>
          <t>Self-Test Item</t>
        </is>
      </c>
      <c r="B14" s="5" t="inlineStr">
        <is>
          <t>Normal Range / Description</t>
        </is>
      </c>
      <c r="C14" s="5" t="inlineStr">
        <is>
          <t>Status / Measured Value</t>
        </is>
      </c>
      <c r="D14" s="5" t="inlineStr">
        <is>
          <t>Action if WARN or FAIL</t>
        </is>
      </c>
    </row>
    <row r="15">
      <c r="A15" s="3" t="inlineStr">
        <is>
          <t>FPGA</t>
        </is>
      </c>
      <c r="B15" s="6" t="inlineStr">
        <is>
          <t>Mainboard FPGA — power-up and run-time CRC</t>
        </is>
      </c>
      <c r="C15" s="4" t="n"/>
      <c r="D15" s="4" t="n"/>
    </row>
    <row r="16">
      <c r="A16" s="3" t="inlineStr">
        <is>
          <t>GPSB</t>
        </is>
      </c>
      <c r="B16" s="6" t="inlineStr">
        <is>
          <t>Back-plane (board-to-board) communications</t>
        </is>
      </c>
      <c r="C16" s="4" t="n"/>
      <c r="D16" s="4" t="n"/>
    </row>
    <row r="17">
      <c r="A17" s="3" t="inlineStr">
        <is>
          <t>HMI</t>
        </is>
      </c>
      <c r="B17" s="6" t="inlineStr">
        <is>
          <t>Front-panel display / HMI interface</t>
        </is>
      </c>
      <c r="C17" s="4" t="n"/>
      <c r="D17" s="4" t="n"/>
    </row>
    <row r="18">
      <c r="A18" s="3" t="inlineStr">
        <is>
          <t>RAM</t>
        </is>
      </c>
      <c r="B18" s="6" t="inlineStr">
        <is>
          <t>External and internal RAM read/write test</t>
        </is>
      </c>
      <c r="C18" s="4" t="n"/>
      <c r="D18" s="4" t="n"/>
    </row>
    <row r="19">
      <c r="A19" s="3" t="inlineStr">
        <is>
          <t>ROM / NON_VOL</t>
        </is>
      </c>
      <c r="B19" s="6" t="inlineStr">
        <is>
          <t>Data flash checksum (non-volatile memory)</t>
        </is>
      </c>
      <c r="C19" s="4" t="n"/>
      <c r="D19" s="4" t="n"/>
    </row>
    <row r="20">
      <c r="A20" s="3" t="inlineStr">
        <is>
          <t>CR_RAM</t>
        </is>
      </c>
      <c r="B20" s="6" t="inlineStr">
        <is>
          <t>Critical RAM — active settings checksum</t>
        </is>
      </c>
      <c r="C20" s="4" t="n"/>
      <c r="D20" s="4" t="n"/>
    </row>
    <row r="21">
      <c r="A21" s="3" t="inlineStr">
        <is>
          <t>CLOCK</t>
        </is>
      </c>
      <c r="B21" s="6" t="inlineStr">
        <is>
          <t>Real-time clock chip communications</t>
        </is>
      </c>
      <c r="C21" s="4" t="n"/>
      <c r="D21" s="4" t="n"/>
    </row>
    <row r="22">
      <c r="A22" s="3" t="inlineStr">
        <is>
          <t>CID_FILE</t>
        </is>
      </c>
      <c r="B22" s="6" t="inlineStr">
        <is>
          <t>CID (configured IED description) file access</t>
        </is>
      </c>
      <c r="C22" s="4" t="n"/>
      <c r="D22" s="4" t="n"/>
    </row>
    <row r="23">
      <c r="A23" s="3" t="inlineStr">
        <is>
          <t>CARD_C / CARD_D / CARD_E</t>
        </is>
      </c>
      <c r="B23" s="6" t="inlineStr">
        <is>
          <t>Option card ID register checks</t>
        </is>
      </c>
      <c r="C23" s="4" t="n"/>
      <c r="D23" s="4" t="n"/>
    </row>
    <row r="24">
      <c r="A24" s="3" t="inlineStr">
        <is>
          <t>CT Board (CURRENT)</t>
        </is>
      </c>
      <c r="B24" s="6" t="inlineStr">
        <is>
          <t>CT A/D board present; offset −50 to +50 mV</t>
        </is>
      </c>
      <c r="C24" s="4" t="n"/>
      <c r="D24" s="4" t="n"/>
    </row>
    <row r="25">
      <c r="A25" s="3" t="inlineStr">
        <is>
          <t>VT Board (CARD_E)</t>
        </is>
      </c>
      <c r="B25" s="6" t="inlineStr">
        <is>
          <t>VT A/D board present; offset −50 to +50 mV (if fitted)</t>
        </is>
      </c>
      <c r="C25" s="4" t="n"/>
      <c r="D25" s="4" t="n"/>
    </row>
    <row r="26">
      <c r="A26" s="3" t="inlineStr">
        <is>
          <t>RTD module (if fitted)</t>
        </is>
      </c>
      <c r="B26" s="6" t="inlineStr">
        <is>
          <t>Internal/external RTD comms OK</t>
        </is>
      </c>
      <c r="C26" s="4" t="n"/>
      <c r="D26" s="4" t="n"/>
    </row>
    <row r="27">
      <c r="A27" s="3" t="inlineStr">
        <is>
          <t>+0.9 V supply</t>
        </is>
      </c>
      <c r="B27" s="6" t="inlineStr">
        <is>
          <t>0.855 – 0.945 V</t>
        </is>
      </c>
      <c r="C27" s="4" t="n"/>
      <c r="D27" s="4" t="n"/>
    </row>
    <row r="28">
      <c r="A28" s="3" t="inlineStr">
        <is>
          <t>+1.2 V supply</t>
        </is>
      </c>
      <c r="B28" s="6" t="inlineStr">
        <is>
          <t>1.152 – 1.248 V</t>
        </is>
      </c>
      <c r="C28" s="4" t="n"/>
      <c r="D28" s="4" t="n"/>
    </row>
    <row r="29">
      <c r="A29" s="3" t="inlineStr">
        <is>
          <t>+1.5 V supply</t>
        </is>
      </c>
      <c r="B29" s="6" t="inlineStr">
        <is>
          <t>1.35 – 1.65 V</t>
        </is>
      </c>
      <c r="C29" s="4" t="n"/>
      <c r="D29" s="4" t="n"/>
    </row>
    <row r="30">
      <c r="A30" s="3" t="inlineStr">
        <is>
          <t>+1.8 V supply</t>
        </is>
      </c>
      <c r="B30" s="6" t="inlineStr">
        <is>
          <t>1.71 – 1.89 V</t>
        </is>
      </c>
      <c r="C30" s="4" t="n"/>
      <c r="D30" s="4" t="n"/>
    </row>
    <row r="31">
      <c r="A31" s="3" t="inlineStr">
        <is>
          <t>+2.5 V supply</t>
        </is>
      </c>
      <c r="B31" s="6" t="inlineStr">
        <is>
          <t>2.32 – 2.68 V</t>
        </is>
      </c>
      <c r="C31" s="4" t="n"/>
      <c r="D31" s="4" t="n"/>
    </row>
    <row r="32">
      <c r="A32" s="3" t="inlineStr">
        <is>
          <t>+3.3 V supply</t>
        </is>
      </c>
      <c r="B32" s="6" t="inlineStr">
        <is>
          <t>3.07 – 3.53 V</t>
        </is>
      </c>
      <c r="C32" s="4" t="n"/>
      <c r="D32" s="4" t="n"/>
    </row>
    <row r="33">
      <c r="A33" s="3" t="inlineStr">
        <is>
          <t>+3.75 V supply</t>
        </is>
      </c>
      <c r="B33" s="6" t="inlineStr">
        <is>
          <t>3.48 – 4.02 V</t>
        </is>
      </c>
      <c r="C33" s="4" t="n"/>
      <c r="D33" s="4" t="n"/>
    </row>
    <row r="34">
      <c r="A34" s="3" t="inlineStr">
        <is>
          <t>+5.0 V supply</t>
        </is>
      </c>
      <c r="B34" s="6" t="inlineStr">
        <is>
          <t>4.65 – 5.35 V</t>
        </is>
      </c>
      <c r="C34" s="4" t="n"/>
      <c r="D34" s="4" t="n"/>
    </row>
    <row r="35">
      <c r="A35" s="3" t="inlineStr">
        <is>
          <t>−1.25 V supply</t>
        </is>
      </c>
      <c r="B35" s="6" t="inlineStr">
        <is>
          <t>−1.16 to −1.34 V</t>
        </is>
      </c>
      <c r="C35" s="4" t="n"/>
      <c r="D35" s="4" t="n"/>
    </row>
    <row r="36">
      <c r="A36" s="3" t="inlineStr">
        <is>
          <t>−5.0 V supply</t>
        </is>
      </c>
      <c r="B36" s="6" t="inlineStr">
        <is>
          <t>−4.65 to −5.35 V</t>
        </is>
      </c>
      <c r="C36" s="4" t="n"/>
      <c r="D36" s="4" t="n"/>
    </row>
    <row r="37">
      <c r="A37" s="3" t="inlineStr">
        <is>
          <t>BATT (clock battery)</t>
        </is>
      </c>
      <c r="B37" s="6" t="inlineStr">
        <is>
          <t>2.3 – 3.5 V</t>
        </is>
      </c>
      <c r="C37" s="4" t="n"/>
      <c r="D37" s="4" t="n"/>
    </row>
    <row r="38">
      <c r="A38" s="3" t="inlineStr">
        <is>
          <t>HALARM relay word bit</t>
        </is>
      </c>
      <c r="B38" s="6" t="inlineStr">
        <is>
          <t>Should be 0 (not asserted)</t>
        </is>
      </c>
      <c r="C38" s="4" t="n"/>
      <c r="D38" s="4" t="n"/>
    </row>
    <row r="40">
      <c r="A40" s="2" t="inlineStr">
        <is>
          <t>3.3  CLOCK / TIME SYNCHRONISATION</t>
        </is>
      </c>
    </row>
    <row r="41">
      <c r="A41" s="5" t="inlineStr">
        <is>
          <t>Check</t>
        </is>
      </c>
      <c r="B41" s="5" t="inlineStr">
        <is>
          <t>Expected / Action</t>
        </is>
      </c>
      <c r="C41" s="5" t="inlineStr">
        <is>
          <t>Result</t>
        </is>
      </c>
      <c r="D41" s="5" t="inlineStr">
        <is>
          <t>Notes</t>
        </is>
      </c>
    </row>
    <row r="42">
      <c r="A42" s="3" t="inlineStr">
        <is>
          <t>Issue TIM &lt;Enter&gt; — relay time</t>
        </is>
      </c>
      <c r="B42" s="6" t="inlineStr">
        <is>
          <t>Within 5 s of reference clock</t>
        </is>
      </c>
      <c r="C42" s="4" t="n"/>
      <c r="D42" s="4" t="n"/>
    </row>
    <row r="43">
      <c r="A43" s="3" t="inlineStr">
        <is>
          <t>Issue DAT &lt;Enter&gt; — relay date</t>
        </is>
      </c>
      <c r="B43" s="6" t="inlineStr">
        <is>
          <t>Correct calendar date</t>
        </is>
      </c>
      <c r="C43" s="4" t="n"/>
      <c r="D43" s="4" t="n"/>
    </row>
    <row r="44">
      <c r="A44" s="3" t="inlineStr">
        <is>
          <t>Time source shown (Internal / IRIG-B)</t>
        </is>
      </c>
      <c r="B44" s="6" t="inlineStr">
        <is>
          <t>IRIG-B if time-code input connected</t>
        </is>
      </c>
      <c r="C44" s="4" t="n"/>
      <c r="D44" s="4" t="n"/>
    </row>
    <row r="45">
      <c r="A45" s="3" t="inlineStr">
        <is>
          <t>Synchronise clock if out of tolerance</t>
        </is>
      </c>
      <c r="B45" s="6" t="inlineStr">
        <is>
          <t>TIM hh:mm:ss   DAT mm/dd/yy</t>
        </is>
      </c>
      <c r="C45" s="4" t="n"/>
      <c r="D45" s="4" t="n"/>
    </row>
    <row r="47">
      <c r="A47" s="2" t="inlineStr">
        <is>
          <t>3.4  EVENT RECORDS (pre-test baseline)</t>
        </is>
      </c>
    </row>
    <row r="48">
      <c r="A48" s="5" t="inlineStr">
        <is>
          <t>Check</t>
        </is>
      </c>
      <c r="B48" s="5" t="inlineStr">
        <is>
          <t>Expected / Action</t>
        </is>
      </c>
      <c r="C48" s="5" t="inlineStr">
        <is>
          <t>Result</t>
        </is>
      </c>
      <c r="D48" s="5" t="inlineStr">
        <is>
          <t>Notes</t>
        </is>
      </c>
    </row>
    <row r="49">
      <c r="A49" s="3" t="inlineStr">
        <is>
          <t>Issue HIS &lt;Enter&gt; — review event history</t>
        </is>
      </c>
      <c r="B49" s="6" t="inlineStr">
        <is>
          <t>No unexplained trips/alarms since last test</t>
        </is>
      </c>
      <c r="C49" s="4" t="n"/>
      <c r="D49" s="4" t="n"/>
    </row>
    <row r="50">
      <c r="A50" s="3" t="inlineStr">
        <is>
          <t>Issue SER &lt;Enter&gt; — review SER log</t>
        </is>
      </c>
      <c r="B50" s="6" t="inlineStr">
        <is>
          <t>No unexpected HALARM / SALARM events</t>
        </is>
      </c>
      <c r="C50" s="4" t="n"/>
      <c r="D50" s="4" t="n"/>
    </row>
    <row r="51">
      <c r="A51" s="3" t="inlineStr">
        <is>
          <t>Issue SUM &lt;Enter&gt; — event summary</t>
        </is>
      </c>
      <c r="B51" s="6" t="inlineStr">
        <is>
          <t>Review; record most recent event number</t>
        </is>
      </c>
      <c r="C51" s="4" t="n"/>
      <c r="D51" s="4" t="n"/>
    </row>
    <row r="52">
      <c r="A52" s="3" t="inlineStr">
        <is>
          <t>Issue EVE &lt;Enter&gt; — most recent event report</t>
        </is>
      </c>
      <c r="B52" s="6" t="inlineStr">
        <is>
          <t>Review for unexpected operation</t>
        </is>
      </c>
      <c r="C52" s="4" t="n"/>
      <c r="D52" s="4" t="n"/>
    </row>
    <row r="54">
      <c r="A54" s="2" t="inlineStr">
        <is>
          <t>3.5  SETTINGS VERIFICATION</t>
        </is>
      </c>
    </row>
    <row r="55">
      <c r="A55" s="5" t="inlineStr">
        <is>
          <t>Check</t>
        </is>
      </c>
      <c r="B55" s="5" t="inlineStr">
        <is>
          <t>Expected / Action</t>
        </is>
      </c>
      <c r="C55" s="5" t="inlineStr">
        <is>
          <t>Result</t>
        </is>
      </c>
      <c r="D55" s="5" t="inlineStr">
        <is>
          <t>Notes</t>
        </is>
      </c>
    </row>
    <row r="56">
      <c r="A56" s="3" t="inlineStr">
        <is>
          <t>Issue SHOW &lt;Enter&gt; — download all settings</t>
        </is>
      </c>
      <c r="B56" s="6" t="inlineStr">
        <is>
          <t>Settings match approved file</t>
        </is>
      </c>
      <c r="C56" s="4" t="n"/>
      <c r="D56" s="4" t="n"/>
    </row>
    <row r="57">
      <c r="A57" s="3" t="inlineStr">
        <is>
          <t>CTR1 (W1 CT ratio) matches Cover sheet</t>
        </is>
      </c>
      <c r="B57" s="6" t="inlineStr">
        <is>
          <t>As per relay data</t>
        </is>
      </c>
      <c r="C57" s="4" t="n"/>
      <c r="D57" s="4" t="n"/>
    </row>
    <row r="58">
      <c r="A58" s="3" t="inlineStr">
        <is>
          <t>CTR2 (W2 CT ratio) matches Cover sheet</t>
        </is>
      </c>
      <c r="B58" s="6" t="inlineStr">
        <is>
          <t>As per relay data</t>
        </is>
      </c>
      <c r="C58" s="4" t="n"/>
      <c r="D58" s="4" t="n"/>
    </row>
    <row r="59">
      <c r="A59" s="3" t="inlineStr">
        <is>
          <t>CTRN (neutral CT ratio) matches Cover sheet</t>
        </is>
      </c>
      <c r="B59" s="6" t="inlineStr">
        <is>
          <t>As per relay data</t>
        </is>
      </c>
      <c r="C59" s="4" t="n"/>
      <c r="D59" s="4" t="n"/>
    </row>
    <row r="60">
      <c r="A60" s="3" t="inlineStr">
        <is>
          <t>PTR (VT ratio) matches Cover sheet (if VT fitted)</t>
        </is>
      </c>
      <c r="B60" s="6" t="inlineStr">
        <is>
          <t>As per relay data</t>
        </is>
      </c>
      <c r="C60" s="4" t="n"/>
      <c r="D60" s="4" t="n"/>
    </row>
    <row r="61">
      <c r="A61" s="3" t="inlineStr">
        <is>
          <t>MVA, VWDG1, VWDG2 match transformer nameplate</t>
        </is>
      </c>
      <c r="B61" s="6" t="inlineStr">
        <is>
          <t>As per nameplate</t>
        </is>
      </c>
      <c r="C61" s="4" t="n"/>
      <c r="D61" s="4" t="n"/>
    </row>
    <row r="62">
      <c r="A62" s="3" t="inlineStr">
        <is>
          <t>W1CTC / W2CTC non-zero for grounded-WYE windings</t>
        </is>
      </c>
      <c r="B62" s="6" t="inlineStr">
        <is>
          <t>See commissioning test worksheet</t>
        </is>
      </c>
      <c r="C62" s="4" t="n"/>
      <c r="D62" s="4" t="n"/>
    </row>
    <row r="63">
      <c r="A63" s="3" t="inlineStr">
        <is>
          <t>Active setting group correct</t>
        </is>
      </c>
      <c r="B63" s="6" t="inlineStr">
        <is>
          <t>Group 1 or as applicable</t>
        </is>
      </c>
      <c r="C63" s="4" t="n"/>
      <c r="D63" s="4" t="n"/>
    </row>
    <row r="64">
      <c r="A64" s="3" t="inlineStr">
        <is>
          <t>Settings unchanged since last test</t>
        </is>
      </c>
      <c r="B64" s="6" t="inlineStr">
        <is>
          <t>No unauthorised changes</t>
        </is>
      </c>
      <c r="C64" s="4" t="n"/>
      <c r="D64" s="4" t="n"/>
    </row>
  </sheetData>
  <mergeCells count="7">
    <mergeCell ref="A1:D1"/>
    <mergeCell ref="A40:D40"/>
    <mergeCell ref="A12:D12"/>
    <mergeCell ref="A3:D3"/>
    <mergeCell ref="A54:D54"/>
    <mergeCell ref="A47:D47"/>
    <mergeCell ref="A13:D13"/>
  </mergeCells>
  <pageMargins left="0.4" right="0.4" top="0.6" bottom="0.6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6" customWidth="1" min="4" max="4"/>
    <col width="16" customWidth="1" min="5" max="5"/>
    <col width="13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26" customHeight="1">
      <c r="A1" s="1" t="inlineStr">
        <is>
          <t>ANALOGUE INPUT VERIFICATION — PRIMARY VALUE CHECK</t>
        </is>
      </c>
    </row>
    <row r="2" ht="36" customHeight="1">
      <c r="A2" s="15" t="inlineStr">
        <is>
          <t>Verify the relay reports the correct PRIMARY value (Injected Secondary × CT or VT ratio). Use METER &lt;Enter&gt; or front-panel MAIN &gt; Meters &gt; Fundamental. Compare to Expected Primary calculated here from the ratios set on Cover sheet.</t>
        </is>
      </c>
    </row>
    <row r="4">
      <c r="A4" s="2" t="inlineStr">
        <is>
          <t>4.1  WINDING 1 PHASE CURRENTS  (IAW1, IBW1, ICW1)  [CTR1]</t>
        </is>
      </c>
    </row>
    <row r="5">
      <c r="A5" s="3" t="inlineStr">
        <is>
          <t>Ratio: Ratio_CTR1 defined on Cover sheet  |  Tolerance: TolI_pct</t>
        </is>
      </c>
    </row>
    <row r="6">
      <c r="A6" s="5" t="inlineStr">
        <is>
          <t>Channel</t>
        </is>
      </c>
      <c r="B6" s="5" t="inlineStr">
        <is>
          <t>Injected Sec.
(A or V)</t>
        </is>
      </c>
      <c r="C6" s="5" t="inlineStr">
        <is>
          <t>Inj. Angle
(°)</t>
        </is>
      </c>
      <c r="D6" s="5" t="inlineStr">
        <is>
          <t>Expected Primary
(auto)</t>
        </is>
      </c>
      <c r="E6" s="5" t="inlineStr">
        <is>
          <t>Relay Primary
Reading</t>
        </is>
      </c>
      <c r="F6" s="5" t="inlineStr">
        <is>
          <t>Relay Angle
Reading</t>
        </is>
      </c>
      <c r="G6" s="5" t="inlineStr">
        <is>
          <t>Mag
Err %</t>
        </is>
      </c>
      <c r="H6" s="5" t="inlineStr">
        <is>
          <t>Angle
Err °</t>
        </is>
      </c>
      <c r="I6" s="5" t="inlineStr">
        <is>
          <t>Mag
Tol %</t>
        </is>
      </c>
      <c r="J6" s="5" t="inlineStr">
        <is>
          <t>Ang
Tol °</t>
        </is>
      </c>
      <c r="K6" s="5" t="inlineStr"/>
      <c r="L6" s="5" t="inlineStr"/>
      <c r="M6" s="5" t="inlineStr">
        <is>
          <t>P/F</t>
        </is>
      </c>
    </row>
    <row r="7">
      <c r="A7" s="3" t="inlineStr">
        <is>
          <t>IAW1 — A-Phase Winding 1</t>
        </is>
      </c>
      <c r="B7" s="4" t="n"/>
      <c r="C7" s="4" t="n"/>
      <c r="D7" s="16">
        <f>IFERROR(IF(B7="","",B7*Ratio_CTR1),"—")</f>
        <v/>
      </c>
      <c r="E7" s="4" t="n"/>
      <c r="F7" s="4" t="n"/>
      <c r="G7" s="17">
        <f>IFERROR(IF(OR(D7="",E7=""),"",(E7-D7)/D7*100),"—")</f>
        <v/>
      </c>
      <c r="H7" s="18">
        <f>IFERROR(IF(OR(C7="",F7=""),"",F7-C7),"—")</f>
        <v/>
      </c>
      <c r="I7" s="19">
        <f>TolI_pct</f>
        <v/>
      </c>
      <c r="J7" s="19">
        <f>TolAngle_deg</f>
        <v/>
      </c>
      <c r="K7" s="8" t="n"/>
      <c r="L7" s="8" t="n"/>
      <c r="M7" s="20">
        <f>IFERROR(IF(AND(B7="",E7=""),"—",IF(OR(AND(ISNUMBER(G7),ABS(G7)&gt;TolI_pct),AND(ISNUMBER(H7),ABS(H7)&gt;TolAngle_deg)),"FAIL","PASS")),"—")</f>
        <v/>
      </c>
    </row>
    <row r="8">
      <c r="A8" s="3" t="inlineStr">
        <is>
          <t>IBW1 — B-Phase Winding 1</t>
        </is>
      </c>
      <c r="B8" s="4" t="n"/>
      <c r="C8" s="4" t="n"/>
      <c r="D8" s="16">
        <f>IFERROR(IF(B8="","",B8*Ratio_CTR1),"—")</f>
        <v/>
      </c>
      <c r="E8" s="4" t="n"/>
      <c r="F8" s="4" t="n"/>
      <c r="G8" s="17">
        <f>IFERROR(IF(OR(D8="",E8=""),"",(E8-D8)/D8*100),"—")</f>
        <v/>
      </c>
      <c r="H8" s="18">
        <f>IFERROR(IF(OR(C8="",F8=""),"",F8-C8),"—")</f>
        <v/>
      </c>
      <c r="I8" s="19">
        <f>TolI_pct</f>
        <v/>
      </c>
      <c r="J8" s="19">
        <f>TolAngle_deg</f>
        <v/>
      </c>
      <c r="K8" s="8" t="n"/>
      <c r="L8" s="8" t="n"/>
      <c r="M8" s="20">
        <f>IFERROR(IF(AND(B8="",E8=""),"—",IF(OR(AND(ISNUMBER(G8),ABS(G8)&gt;TolI_pct),AND(ISNUMBER(H8),ABS(H8)&gt;TolAngle_deg)),"FAIL","PASS")),"—")</f>
        <v/>
      </c>
    </row>
    <row r="9">
      <c r="A9" s="3" t="inlineStr">
        <is>
          <t>ICW1 — C-Phase Winding 1</t>
        </is>
      </c>
      <c r="B9" s="4" t="n"/>
      <c r="C9" s="4" t="n"/>
      <c r="D9" s="16">
        <f>IFERROR(IF(B9="","",B9*Ratio_CTR1),"—")</f>
        <v/>
      </c>
      <c r="E9" s="4" t="n"/>
      <c r="F9" s="4" t="n"/>
      <c r="G9" s="17">
        <f>IFERROR(IF(OR(D9="",E9=""),"",(E9-D9)/D9*100),"—")</f>
        <v/>
      </c>
      <c r="H9" s="18">
        <f>IFERROR(IF(OR(C9="",F9=""),"",F9-C9),"—")</f>
        <v/>
      </c>
      <c r="I9" s="19">
        <f>TolI_pct</f>
        <v/>
      </c>
      <c r="J9" s="19">
        <f>TolAngle_deg</f>
        <v/>
      </c>
      <c r="K9" s="8" t="n"/>
      <c r="L9" s="8" t="n"/>
      <c r="M9" s="20">
        <f>IFERROR(IF(AND(B9="",E9=""),"—",IF(OR(AND(ISNUMBER(G9),ABS(G9)&gt;TolI_pct),AND(ISNUMBER(H9),ABS(H9)&gt;TolAngle_deg)),"FAIL","PASS")),"—")</f>
        <v/>
      </c>
    </row>
    <row r="11">
      <c r="A11" s="2" t="inlineStr">
        <is>
          <t>4.2  WINDING 2 PHASE CURRENTS  (IAW2, IBW2, ICW2)  [CTR2]</t>
        </is>
      </c>
    </row>
    <row r="12">
      <c r="A12" s="3" t="inlineStr">
        <is>
          <t>Ratio: Ratio_CTR2 defined on Cover sheet  |  Tolerance: TolI_pct</t>
        </is>
      </c>
    </row>
    <row r="13">
      <c r="A13" s="5" t="inlineStr">
        <is>
          <t>Channel</t>
        </is>
      </c>
      <c r="B13" s="5" t="inlineStr">
        <is>
          <t>Injected Sec.
(A or V)</t>
        </is>
      </c>
      <c r="C13" s="5" t="inlineStr">
        <is>
          <t>Inj. Angle
(°)</t>
        </is>
      </c>
      <c r="D13" s="5" t="inlineStr">
        <is>
          <t>Expected Primary
(auto)</t>
        </is>
      </c>
      <c r="E13" s="5" t="inlineStr">
        <is>
          <t>Relay Primary
Reading</t>
        </is>
      </c>
      <c r="F13" s="5" t="inlineStr">
        <is>
          <t>Relay Angle
Reading</t>
        </is>
      </c>
      <c r="G13" s="5" t="inlineStr">
        <is>
          <t>Mag
Err %</t>
        </is>
      </c>
      <c r="H13" s="5" t="inlineStr">
        <is>
          <t>Angle
Err °</t>
        </is>
      </c>
      <c r="I13" s="5" t="inlineStr">
        <is>
          <t>Mag
Tol %</t>
        </is>
      </c>
      <c r="J13" s="5" t="inlineStr">
        <is>
          <t>Ang
Tol °</t>
        </is>
      </c>
      <c r="K13" s="5" t="inlineStr"/>
      <c r="L13" s="5" t="inlineStr"/>
      <c r="M13" s="5" t="inlineStr">
        <is>
          <t>P/F</t>
        </is>
      </c>
    </row>
    <row r="14">
      <c r="A14" s="3" t="inlineStr">
        <is>
          <t>IAW2 — A-Phase Winding 2</t>
        </is>
      </c>
      <c r="B14" s="4" t="n"/>
      <c r="C14" s="4" t="n"/>
      <c r="D14" s="16">
        <f>IFERROR(IF(B14="","",B14*Ratio_CTR2),"—")</f>
        <v/>
      </c>
      <c r="E14" s="4" t="n"/>
      <c r="F14" s="4" t="n"/>
      <c r="G14" s="17">
        <f>IFERROR(IF(OR(D14="",E14=""),"",(E14-D14)/D14*100),"—")</f>
        <v/>
      </c>
      <c r="H14" s="18">
        <f>IFERROR(IF(OR(C14="",F14=""),"",F14-C14),"—")</f>
        <v/>
      </c>
      <c r="I14" s="19">
        <f>TolI_pct</f>
        <v/>
      </c>
      <c r="J14" s="19">
        <f>TolAngle_deg</f>
        <v/>
      </c>
      <c r="K14" s="8" t="n"/>
      <c r="L14" s="8" t="n"/>
      <c r="M14" s="20">
        <f>IFERROR(IF(AND(B14="",E14=""),"—",IF(OR(AND(ISNUMBER(G14),ABS(G14)&gt;TolI_pct),AND(ISNUMBER(H14),ABS(H14)&gt;TolAngle_deg)),"FAIL","PASS")),"—")</f>
        <v/>
      </c>
    </row>
    <row r="15">
      <c r="A15" s="3" t="inlineStr">
        <is>
          <t>IBW2 — B-Phase Winding 2</t>
        </is>
      </c>
      <c r="B15" s="4" t="n"/>
      <c r="C15" s="4" t="n"/>
      <c r="D15" s="16">
        <f>IFERROR(IF(B15="","",B15*Ratio_CTR2),"—")</f>
        <v/>
      </c>
      <c r="E15" s="4" t="n"/>
      <c r="F15" s="4" t="n"/>
      <c r="G15" s="17">
        <f>IFERROR(IF(OR(D15="",E15=""),"",(E15-D15)/D15*100),"—")</f>
        <v/>
      </c>
      <c r="H15" s="18">
        <f>IFERROR(IF(OR(C15="",F15=""),"",F15-C15),"—")</f>
        <v/>
      </c>
      <c r="I15" s="19">
        <f>TolI_pct</f>
        <v/>
      </c>
      <c r="J15" s="19">
        <f>TolAngle_deg</f>
        <v/>
      </c>
      <c r="K15" s="8" t="n"/>
      <c r="L15" s="8" t="n"/>
      <c r="M15" s="20">
        <f>IFERROR(IF(AND(B15="",E15=""),"—",IF(OR(AND(ISNUMBER(G15),ABS(G15)&gt;TolI_pct),AND(ISNUMBER(H15),ABS(H15)&gt;TolAngle_deg)),"FAIL","PASS")),"—")</f>
        <v/>
      </c>
    </row>
    <row r="16">
      <c r="A16" s="3" t="inlineStr">
        <is>
          <t>ICW2 — C-Phase Winding 2</t>
        </is>
      </c>
      <c r="B16" s="4" t="n"/>
      <c r="C16" s="4" t="n"/>
      <c r="D16" s="16">
        <f>IFERROR(IF(B16="","",B16*Ratio_CTR2),"—")</f>
        <v/>
      </c>
      <c r="E16" s="4" t="n"/>
      <c r="F16" s="4" t="n"/>
      <c r="G16" s="17">
        <f>IFERROR(IF(OR(D16="",E16=""),"",(E16-D16)/D16*100),"—")</f>
        <v/>
      </c>
      <c r="H16" s="18">
        <f>IFERROR(IF(OR(C16="",F16=""),"",F16-C16),"—")</f>
        <v/>
      </c>
      <c r="I16" s="19">
        <f>TolI_pct</f>
        <v/>
      </c>
      <c r="J16" s="19">
        <f>TolAngle_deg</f>
        <v/>
      </c>
      <c r="K16" s="8" t="n"/>
      <c r="L16" s="8" t="n"/>
      <c r="M16" s="20">
        <f>IFERROR(IF(AND(B16="",E16=""),"—",IF(OR(AND(ISNUMBER(G16),ABS(G16)&gt;TolI_pct),AND(ISNUMBER(H16),ABS(H16)&gt;TolAngle_deg)),"FAIL","PASS")),"—")</f>
        <v/>
      </c>
    </row>
    <row r="18">
      <c r="A18" s="2" t="inlineStr">
        <is>
          <t>4.3  NEUTRAL CURRENT  (IN)  [CTRN]  — if neutral CT fitted</t>
        </is>
      </c>
    </row>
    <row r="19">
      <c r="A19" s="3" t="inlineStr">
        <is>
          <t>Ratio: Ratio_CTRN defined on Cover sheet  |  Tolerance: TolI_pct</t>
        </is>
      </c>
    </row>
    <row r="20">
      <c r="A20" s="5" t="inlineStr">
        <is>
          <t>Channel</t>
        </is>
      </c>
      <c r="B20" s="5" t="inlineStr">
        <is>
          <t>Injected Sec.
(A or V)</t>
        </is>
      </c>
      <c r="C20" s="5" t="inlineStr">
        <is>
          <t>Inj. Angle
(°)</t>
        </is>
      </c>
      <c r="D20" s="5" t="inlineStr">
        <is>
          <t>Expected Primary
(auto)</t>
        </is>
      </c>
      <c r="E20" s="5" t="inlineStr">
        <is>
          <t>Relay Primary
Reading</t>
        </is>
      </c>
      <c r="F20" s="5" t="inlineStr">
        <is>
          <t>Relay Angle
Reading</t>
        </is>
      </c>
      <c r="G20" s="5" t="inlineStr">
        <is>
          <t>Mag
Err %</t>
        </is>
      </c>
      <c r="H20" s="5" t="inlineStr">
        <is>
          <t>Angle
Err °</t>
        </is>
      </c>
      <c r="I20" s="5" t="inlineStr">
        <is>
          <t>Mag
Tol %</t>
        </is>
      </c>
      <c r="J20" s="5" t="inlineStr">
        <is>
          <t>Ang
Tol °</t>
        </is>
      </c>
      <c r="K20" s="5" t="inlineStr"/>
      <c r="L20" s="5" t="inlineStr"/>
      <c r="M20" s="5" t="inlineStr">
        <is>
          <t>P/F</t>
        </is>
      </c>
    </row>
    <row r="21">
      <c r="A21" s="3" t="inlineStr">
        <is>
          <t>IN — Neutral current</t>
        </is>
      </c>
      <c r="B21" s="4" t="n"/>
      <c r="C21" s="4" t="n"/>
      <c r="D21" s="16">
        <f>IFERROR(IF(B21="","",B21*Ratio_CTRN),"—")</f>
        <v/>
      </c>
      <c r="E21" s="4" t="n"/>
      <c r="F21" s="4" t="n"/>
      <c r="G21" s="17">
        <f>IFERROR(IF(OR(D21="",E21=""),"",(E21-D21)/D21*100),"—")</f>
        <v/>
      </c>
      <c r="H21" s="18">
        <f>IFERROR(IF(OR(C21="",F21=""),"",F21-C21),"—")</f>
        <v/>
      </c>
      <c r="I21" s="19">
        <f>TolI_pct</f>
        <v/>
      </c>
      <c r="J21" s="19">
        <f>TolAngle_deg</f>
        <v/>
      </c>
      <c r="K21" s="8" t="n"/>
      <c r="L21" s="8" t="n"/>
      <c r="M21" s="20">
        <f>IFERROR(IF(AND(B21="",E21=""),"—",IF(OR(AND(ISNUMBER(G21),ABS(G21)&gt;TolI_pct),AND(ISNUMBER(H21),ABS(H21)&gt;TolAngle_deg)),"FAIL","PASS")),"—")</f>
        <v/>
      </c>
    </row>
    <row r="23">
      <c r="A23" s="2" t="inlineStr">
        <is>
          <t>4.4  VOLTAGE INPUTS  (VA, VB, VC)  [PTR]  — if VT card fitted</t>
        </is>
      </c>
    </row>
    <row r="24">
      <c r="A24" s="3" t="inlineStr">
        <is>
          <t>Ratio: Ratio_PTR defined on Cover sheet  |  Tolerance: TolV_pct</t>
        </is>
      </c>
    </row>
    <row r="25">
      <c r="A25" s="5" t="inlineStr">
        <is>
          <t>Channel</t>
        </is>
      </c>
      <c r="B25" s="5" t="inlineStr">
        <is>
          <t>Injected Sec.
(A or V)</t>
        </is>
      </c>
      <c r="C25" s="5" t="inlineStr">
        <is>
          <t>Inj. Angle
(°)</t>
        </is>
      </c>
      <c r="D25" s="5" t="inlineStr">
        <is>
          <t>Expected Primary
(auto)</t>
        </is>
      </c>
      <c r="E25" s="5" t="inlineStr">
        <is>
          <t>Relay Primary
Reading</t>
        </is>
      </c>
      <c r="F25" s="5" t="inlineStr">
        <is>
          <t>Relay Angle
Reading</t>
        </is>
      </c>
      <c r="G25" s="5" t="inlineStr">
        <is>
          <t>Mag
Err %</t>
        </is>
      </c>
      <c r="H25" s="5" t="inlineStr">
        <is>
          <t>Angle
Err °</t>
        </is>
      </c>
      <c r="I25" s="5" t="inlineStr">
        <is>
          <t>Mag
Tol %</t>
        </is>
      </c>
      <c r="J25" s="5" t="inlineStr">
        <is>
          <t>Ang
Tol °</t>
        </is>
      </c>
      <c r="K25" s="5" t="inlineStr"/>
      <c r="L25" s="5" t="inlineStr"/>
      <c r="M25" s="5" t="inlineStr">
        <is>
          <t>P/F</t>
        </is>
      </c>
    </row>
    <row r="26">
      <c r="A26" s="3" t="inlineStr">
        <is>
          <t>VA — Phase A voltage</t>
        </is>
      </c>
      <c r="B26" s="4" t="n"/>
      <c r="C26" s="4" t="n"/>
      <c r="D26" s="16">
        <f>IFERROR(IF(B26="","",B26*Ratio_PTR),"—")</f>
        <v/>
      </c>
      <c r="E26" s="4" t="n"/>
      <c r="F26" s="4" t="n"/>
      <c r="G26" s="17">
        <f>IFERROR(IF(OR(D26="",E26=""),"",(E26-D26)/D26*100),"—")</f>
        <v/>
      </c>
      <c r="H26" s="18">
        <f>IFERROR(IF(OR(C26="",F26=""),"",F26-C26),"—")</f>
        <v/>
      </c>
      <c r="I26" s="19">
        <f>TolV_pct</f>
        <v/>
      </c>
      <c r="J26" s="19">
        <f>TolAngle_deg</f>
        <v/>
      </c>
      <c r="K26" s="8" t="n"/>
      <c r="L26" s="8" t="n"/>
      <c r="M26" s="20">
        <f>IFERROR(IF(AND(B26="",E26=""),"—",IF(OR(AND(ISNUMBER(G26),ABS(G26)&gt;TolV_pct),AND(ISNUMBER(H26),ABS(H26)&gt;TolAngle_deg)),"FAIL","PASS")),"—")</f>
        <v/>
      </c>
    </row>
    <row r="27">
      <c r="A27" s="3" t="inlineStr">
        <is>
          <t>VB — Phase B voltage</t>
        </is>
      </c>
      <c r="B27" s="4" t="n"/>
      <c r="C27" s="4" t="n"/>
      <c r="D27" s="16">
        <f>IFERROR(IF(B27="","",B27*Ratio_PTR),"—")</f>
        <v/>
      </c>
      <c r="E27" s="4" t="n"/>
      <c r="F27" s="4" t="n"/>
      <c r="G27" s="17">
        <f>IFERROR(IF(OR(D27="",E27=""),"",(E27-D27)/D27*100),"—")</f>
        <v/>
      </c>
      <c r="H27" s="18">
        <f>IFERROR(IF(OR(C27="",F27=""),"",F27-C27),"—")</f>
        <v/>
      </c>
      <c r="I27" s="19">
        <f>TolV_pct</f>
        <v/>
      </c>
      <c r="J27" s="19">
        <f>TolAngle_deg</f>
        <v/>
      </c>
      <c r="K27" s="8" t="n"/>
      <c r="L27" s="8" t="n"/>
      <c r="M27" s="20">
        <f>IFERROR(IF(AND(B27="",E27=""),"—",IF(OR(AND(ISNUMBER(G27),ABS(G27)&gt;TolV_pct),AND(ISNUMBER(H27),ABS(H27)&gt;TolAngle_deg)),"FAIL","PASS")),"—")</f>
        <v/>
      </c>
    </row>
    <row r="28">
      <c r="A28" s="3" t="inlineStr">
        <is>
          <t>VC — Phase C voltage</t>
        </is>
      </c>
      <c r="B28" s="4" t="n"/>
      <c r="C28" s="4" t="n"/>
      <c r="D28" s="16">
        <f>IFERROR(IF(B28="","",B28*Ratio_PTR),"—")</f>
        <v/>
      </c>
      <c r="E28" s="4" t="n"/>
      <c r="F28" s="4" t="n"/>
      <c r="G28" s="17">
        <f>IFERROR(IF(OR(D28="",E28=""),"",(E28-D28)/D28*100),"—")</f>
        <v/>
      </c>
      <c r="H28" s="18">
        <f>IFERROR(IF(OR(C28="",F28=""),"",F28-C28),"—")</f>
        <v/>
      </c>
      <c r="I28" s="19">
        <f>TolV_pct</f>
        <v/>
      </c>
      <c r="J28" s="19">
        <f>TolAngle_deg</f>
        <v/>
      </c>
      <c r="K28" s="8" t="n"/>
      <c r="L28" s="8" t="n"/>
      <c r="M28" s="20">
        <f>IFERROR(IF(AND(B28="",E28=""),"—",IF(OR(AND(ISNUMBER(G28),ABS(G28)&gt;TolV_pct),AND(ISNUMBER(H28),ABS(H28)&gt;TolAngle_deg)),"FAIL","PASS")),"—")</f>
        <v/>
      </c>
    </row>
    <row r="30">
      <c r="A30" s="2" t="inlineStr">
        <is>
          <t>4.5  DIFFERENTIAL METER CHECK  (METER DIF &lt;Enter&gt; or MAIN &gt; Meters &gt; Differential)</t>
        </is>
      </c>
    </row>
    <row r="31" ht="40" customHeight="1">
      <c r="A31" s="15" t="inlineStr">
        <is>
          <t>Under balanced load: IOP (operate) should be ≈ 0.00, IRT (restraint) ≈ load in TAP units. If MM = IOP/IRT &gt; 0.10 investigate CT polarity, W1CTC/W2CTC compensation, and CT connections.</t>
        </is>
      </c>
    </row>
    <row r="32">
      <c r="A32" s="5" t="inlineStr">
        <is>
          <t>Diff Element</t>
        </is>
      </c>
      <c r="B32" s="5" t="inlineStr">
        <is>
          <t>IOP
(Operate, TAP)</t>
        </is>
      </c>
      <c r="C32" s="5" t="inlineStr">
        <is>
          <t>IRT
(Restraint, TAP)</t>
        </is>
      </c>
      <c r="D32" s="5" t="inlineStr">
        <is>
          <t>MM = IOP/IRT</t>
        </is>
      </c>
      <c r="E32" s="5" t="inlineStr">
        <is>
          <t>Accept if
MM ≤ 0.10</t>
        </is>
      </c>
      <c r="F32" s="5" t="inlineStr">
        <is>
          <t>2nd Harm
(TAP)</t>
        </is>
      </c>
      <c r="G32" s="5" t="inlineStr">
        <is>
          <t>5th Harm
(TAP)</t>
        </is>
      </c>
      <c r="H32" s="5" t="inlineStr"/>
      <c r="I32" s="5" t="inlineStr"/>
      <c r="J32" s="5" t="inlineStr"/>
      <c r="K32" s="5" t="inlineStr"/>
      <c r="L32" s="5" t="inlineStr"/>
      <c r="M32" s="5" t="inlineStr">
        <is>
          <t>Result</t>
        </is>
      </c>
    </row>
    <row r="33">
      <c r="A33" s="3" t="inlineStr">
        <is>
          <t>87-1 (DIFF1)</t>
        </is>
      </c>
      <c r="B33" s="4" t="n"/>
      <c r="C33" s="4" t="n"/>
      <c r="D33" s="21">
        <f>IFERROR(IF(OR(B33="",C33=""),"",B33/C33),"—")</f>
        <v/>
      </c>
      <c r="E33" s="6" t="inlineStr">
        <is>
          <t>≤ 0.10</t>
        </is>
      </c>
      <c r="F33" s="4" t="n"/>
      <c r="G33" s="4" t="n"/>
      <c r="H33" s="8" t="n"/>
      <c r="I33" s="8" t="n"/>
      <c r="J33" s="8" t="n"/>
      <c r="K33" s="8" t="n"/>
      <c r="L33" s="8" t="n"/>
      <c r="M33" s="20">
        <f>IFERROR(IF(D33="","—",IF(AND(ISNUMBER(D33),D33&lt;=0.10),"PASS","FAIL")),"—")</f>
        <v/>
      </c>
    </row>
    <row r="34">
      <c r="A34" s="3" t="inlineStr">
        <is>
          <t>87-2 (DIFF2)</t>
        </is>
      </c>
      <c r="B34" s="4" t="n"/>
      <c r="C34" s="4" t="n"/>
      <c r="D34" s="21">
        <f>IFERROR(IF(OR(B34="",C34=""),"",B34/C34),"—")</f>
        <v/>
      </c>
      <c r="E34" s="6" t="inlineStr">
        <is>
          <t>≤ 0.10</t>
        </is>
      </c>
      <c r="F34" s="4" t="n"/>
      <c r="G34" s="4" t="n"/>
      <c r="H34" s="8" t="n"/>
      <c r="I34" s="8" t="n"/>
      <c r="J34" s="8" t="n"/>
      <c r="K34" s="8" t="n"/>
      <c r="L34" s="8" t="n"/>
      <c r="M34" s="20">
        <f>IFERROR(IF(D34="","—",IF(AND(ISNUMBER(D34),D34&lt;=0.10),"PASS","FAIL")),"—")</f>
        <v/>
      </c>
    </row>
    <row r="35">
      <c r="A35" s="3" t="inlineStr">
        <is>
          <t>87-3 (DIFF3) if used</t>
        </is>
      </c>
      <c r="B35" s="4" t="n"/>
      <c r="C35" s="4" t="n"/>
      <c r="D35" s="21">
        <f>IFERROR(IF(OR(B35="",C35=""),"",B35/C35),"—")</f>
        <v/>
      </c>
      <c r="E35" s="6" t="inlineStr">
        <is>
          <t>≤ 0.10</t>
        </is>
      </c>
      <c r="F35" s="4" t="n"/>
      <c r="G35" s="4" t="n"/>
      <c r="H35" s="8" t="n"/>
      <c r="I35" s="8" t="n"/>
      <c r="J35" s="8" t="n"/>
      <c r="K35" s="8" t="n"/>
      <c r="L35" s="8" t="n"/>
      <c r="M35" s="20">
        <f>IFERROR(IF(D35="","—",IF(AND(ISNUMBER(D35),D35&lt;=0.10),"PASS","FAIL")),"—")</f>
        <v/>
      </c>
    </row>
  </sheetData>
  <mergeCells count="12">
    <mergeCell ref="A19:M19"/>
    <mergeCell ref="A1:M1"/>
    <mergeCell ref="A5:M5"/>
    <mergeCell ref="A23:M23"/>
    <mergeCell ref="A31:M31"/>
    <mergeCell ref="A12:M12"/>
    <mergeCell ref="A4:M4"/>
    <mergeCell ref="A18:M18"/>
    <mergeCell ref="A30:M30"/>
    <mergeCell ref="A24:M24"/>
    <mergeCell ref="A2:M2"/>
    <mergeCell ref="A11:M11"/>
  </mergeCells>
  <conditionalFormatting sqref="M1:M300">
    <cfRule type="cellIs" priority="1" operator="equal" dxfId="0">
      <formula>"PASS"</formula>
    </cfRule>
    <cfRule type="cellIs" priority="2" operator="equal" dxfId="1">
      <formula>"FAIL"</formula>
    </cfRule>
  </conditionalFormatting>
  <pageMargins left="0.4" right="0.4" top="0.6" bottom="0.6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4" customWidth="1" min="4" max="4"/>
    <col width="12" customWidth="1" min="5" max="5"/>
  </cols>
  <sheetData>
    <row r="1" ht="26" customHeight="1">
      <c r="A1" s="1" t="inlineStr">
        <is>
          <t>BINARY I/O VERIFICATION</t>
        </is>
      </c>
    </row>
    <row r="3">
      <c r="A3" s="2" t="inlineStr">
        <is>
          <t>5.1  DIGITAL INPUTS — Pickup Verification</t>
        </is>
      </c>
    </row>
    <row r="4" ht="30" customHeight="1">
      <c r="A4" s="15" t="inlineStr">
        <is>
          <t>Apply rated control voltage to each input. Use front-panel MAIN &gt; Targets &gt; Row 21 or serial TARGET command to verify IN101/IN102 state changes 0→1.</t>
        </is>
      </c>
    </row>
    <row r="5">
      <c r="A5" s="5" t="inlineStr">
        <is>
          <t>Input No.</t>
        </is>
      </c>
      <c r="B5" s="5" t="inlineStr">
        <is>
          <t>Function Label</t>
        </is>
      </c>
      <c r="C5" s="5" t="inlineStr">
        <is>
          <t>Control Voltage Applied</t>
        </is>
      </c>
      <c r="D5" s="5" t="inlineStr">
        <is>
          <t>Relay Word Bit</t>
        </is>
      </c>
      <c r="E5" s="5" t="inlineStr">
        <is>
          <t>Result</t>
        </is>
      </c>
    </row>
    <row r="6">
      <c r="A6" s="13" t="inlineStr">
        <is>
          <t>IN101</t>
        </is>
      </c>
      <c r="B6" s="4" t="inlineStr">
        <is>
          <t>Digital Input 1 — edit to match schematics</t>
        </is>
      </c>
      <c r="C6" s="4" t="n"/>
      <c r="D6" s="6" t="inlineStr">
        <is>
          <t>IN101</t>
        </is>
      </c>
      <c r="E6" s="4" t="n"/>
    </row>
    <row r="7">
      <c r="A7" s="13" t="inlineStr">
        <is>
          <t>IN102</t>
        </is>
      </c>
      <c r="B7" s="4" t="inlineStr">
        <is>
          <t>Digital Input 2 — edit to match schematics</t>
        </is>
      </c>
      <c r="C7" s="4" t="n"/>
      <c r="D7" s="6" t="inlineStr">
        <is>
          <t>IN102</t>
        </is>
      </c>
      <c r="E7" s="4" t="n"/>
    </row>
    <row r="8">
      <c r="A8" s="13" t="inlineStr">
        <is>
          <t>IN301</t>
        </is>
      </c>
      <c r="B8" s="4" t="inlineStr">
        <is>
          <t>Optional DI — Input 1 (if card fitted)</t>
        </is>
      </c>
      <c r="C8" s="4" t="n"/>
      <c r="D8" s="6" t="inlineStr">
        <is>
          <t>IN301</t>
        </is>
      </c>
      <c r="E8" s="4" t="n"/>
    </row>
    <row r="9">
      <c r="A9" s="13" t="inlineStr">
        <is>
          <t>IN302</t>
        </is>
      </c>
      <c r="B9" s="4" t="inlineStr">
        <is>
          <t>Optional DI — Input 2 (if card fitted)</t>
        </is>
      </c>
      <c r="C9" s="4" t="n"/>
      <c r="D9" s="6" t="inlineStr">
        <is>
          <t>IN302</t>
        </is>
      </c>
      <c r="E9" s="4" t="n"/>
    </row>
    <row r="10">
      <c r="A10" s="13" t="inlineStr">
        <is>
          <t>IN303</t>
        </is>
      </c>
      <c r="B10" s="4" t="inlineStr">
        <is>
          <t>Optional DI — Input 3 (if card fitted)</t>
        </is>
      </c>
      <c r="C10" s="4" t="n"/>
      <c r="D10" s="6" t="inlineStr">
        <is>
          <t>IN303</t>
        </is>
      </c>
      <c r="E10" s="4" t="n"/>
    </row>
    <row r="11">
      <c r="A11" s="13" t="inlineStr">
        <is>
          <t>IN304</t>
        </is>
      </c>
      <c r="B11" s="4" t="inlineStr">
        <is>
          <t>Optional DI — Input 4 (if card fitted)</t>
        </is>
      </c>
      <c r="C11" s="4" t="n"/>
      <c r="D11" s="6" t="inlineStr">
        <is>
          <t>IN304</t>
        </is>
      </c>
      <c r="E11" s="4" t="n"/>
    </row>
    <row r="13">
      <c r="A13" s="2" t="inlineStr">
        <is>
          <t>5.2  DIGITAL OUTPUTS — Continuity Test</t>
        </is>
      </c>
    </row>
    <row r="14" ht="30" customHeight="1">
      <c r="A14" s="15" t="inlineStr">
        <is>
          <t>Force each output via serial (OUT101:=1 etc.) or CONTROL menu. Verify continuity through to trip coil / alarm annunciator. Restore all SELOGIC equations after test.</t>
        </is>
      </c>
    </row>
    <row r="15">
      <c r="A15" s="5" t="inlineStr">
        <is>
          <t>Output No.</t>
        </is>
      </c>
      <c r="B15" s="5" t="inlineStr">
        <is>
          <t>Function Label</t>
        </is>
      </c>
      <c r="C15" s="5" t="inlineStr">
        <is>
          <t>Force Command</t>
        </is>
      </c>
      <c r="D15" s="5" t="inlineStr">
        <is>
          <t>Expected Result</t>
        </is>
      </c>
      <c r="E15" s="5" t="inlineStr">
        <is>
          <t>P/F</t>
        </is>
      </c>
    </row>
    <row r="16">
      <c r="A16" s="13" t="inlineStr">
        <is>
          <t>OUT101</t>
        </is>
      </c>
      <c r="B16" s="4" t="inlineStr">
        <is>
          <t>TRIP / Main trip (edit label)</t>
        </is>
      </c>
      <c r="C16" s="6" t="inlineStr">
        <is>
          <t>OUT101:=1</t>
        </is>
      </c>
      <c r="D16" s="6" t="inlineStr">
        <is>
          <t>Contact closes — continuity to trip coil</t>
        </is>
      </c>
      <c r="E16" s="4" t="n"/>
    </row>
    <row r="17">
      <c r="A17" s="13" t="inlineStr">
        <is>
          <t>OUT102</t>
        </is>
      </c>
      <c r="B17" s="4" t="inlineStr">
        <is>
          <t>Alarm / Close (edit label)</t>
        </is>
      </c>
      <c r="C17" s="6" t="inlineStr">
        <is>
          <t>OUT102:=1</t>
        </is>
      </c>
      <c r="D17" s="6" t="inlineStr">
        <is>
          <t>Contact closes — continuity verified</t>
        </is>
      </c>
      <c r="E17" s="4" t="n"/>
    </row>
    <row r="18">
      <c r="A18" s="13" t="inlineStr">
        <is>
          <t>OUT103</t>
        </is>
      </c>
      <c r="B18" s="4" t="inlineStr">
        <is>
          <t>Auxiliary output (edit label)</t>
        </is>
      </c>
      <c r="C18" s="6" t="inlineStr">
        <is>
          <t>OUT103:=1</t>
        </is>
      </c>
      <c r="D18" s="6" t="inlineStr">
        <is>
          <t>Contact closes — continuity verified</t>
        </is>
      </c>
      <c r="E18" s="4" t="n"/>
    </row>
    <row r="19">
      <c r="A19" s="13" t="inlineStr">
        <is>
          <t>OUT301</t>
        </is>
      </c>
      <c r="B19" s="4" t="inlineStr">
        <is>
          <t>Optional DO — 1 (if card)</t>
        </is>
      </c>
      <c r="C19" s="6" t="inlineStr">
        <is>
          <t>OUT301:=1</t>
        </is>
      </c>
      <c r="D19" s="6" t="inlineStr">
        <is>
          <t>Contact closes — continuity verified</t>
        </is>
      </c>
      <c r="E19" s="4" t="n"/>
    </row>
    <row r="20">
      <c r="A20" s="13" t="inlineStr">
        <is>
          <t>OUT302</t>
        </is>
      </c>
      <c r="B20" s="4" t="inlineStr">
        <is>
          <t>Optional DO — 2 (if card)</t>
        </is>
      </c>
      <c r="C20" s="6" t="inlineStr">
        <is>
          <t>OUT302:=1</t>
        </is>
      </c>
      <c r="D20" s="6" t="inlineStr">
        <is>
          <t>Contact closes — continuity verified</t>
        </is>
      </c>
      <c r="E20" s="4" t="n"/>
    </row>
  </sheetData>
  <mergeCells count="5">
    <mergeCell ref="A4:E4"/>
    <mergeCell ref="A1:E1"/>
    <mergeCell ref="A13:E13"/>
    <mergeCell ref="A14:E14"/>
    <mergeCell ref="A3:E3"/>
  </mergeCells>
  <pageMargins left="0.4" right="0.4" top="0.6" bottom="0.6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14" customWidth="1" min="4" max="4"/>
    <col width="16" customWidth="1" min="5" max="5"/>
    <col width="12" customWidth="1" min="6" max="6"/>
  </cols>
  <sheetData>
    <row r="1" ht="26" customHeight="1">
      <c r="A1" s="1" t="inlineStr">
        <is>
          <t>PROTECTION ELEMENT TRACKER</t>
        </is>
      </c>
    </row>
    <row r="3">
      <c r="A3" s="5" t="inlineStr">
        <is>
          <t>#</t>
        </is>
      </c>
      <c r="B3" s="5" t="inlineStr">
        <is>
          <t>Element ID</t>
        </is>
      </c>
      <c r="C3" s="5" t="inlineStr">
        <is>
          <t>Description</t>
        </is>
      </c>
      <c r="D3" s="5" t="inlineStr">
        <is>
          <t>Enabled
(Y / N / NA)</t>
        </is>
      </c>
      <c r="E3" s="5" t="inlineStr">
        <is>
          <t>Test Result Row</t>
        </is>
      </c>
      <c r="F3" s="5" t="inlineStr">
        <is>
          <t>Result</t>
        </is>
      </c>
    </row>
    <row r="4">
      <c r="A4" s="22" t="n">
        <v>1</v>
      </c>
      <c r="B4" s="13" t="inlineStr">
        <is>
          <t>87-1</t>
        </is>
      </c>
      <c r="C4" s="7" t="inlineStr">
        <is>
          <t>DIFF1 — Current Differential Element 1 (restrained + unrestrained)</t>
        </is>
      </c>
      <c r="D4" s="4" t="n"/>
      <c r="E4" s="4" t="n"/>
      <c r="F4" s="4" t="n"/>
    </row>
    <row r="5">
      <c r="A5" s="23" t="n">
        <v>2</v>
      </c>
      <c r="B5" s="13" t="inlineStr">
        <is>
          <t>87-2</t>
        </is>
      </c>
      <c r="C5" s="24" t="inlineStr">
        <is>
          <t>DIFF2 — Current Differential Element 2 (if fitted/enabled)</t>
        </is>
      </c>
      <c r="D5" s="4" t="n"/>
      <c r="E5" s="4" t="n"/>
      <c r="F5" s="4" t="n"/>
    </row>
    <row r="6">
      <c r="A6" s="22" t="n">
        <v>3</v>
      </c>
      <c r="B6" s="13" t="inlineStr">
        <is>
          <t>87-3</t>
        </is>
      </c>
      <c r="C6" s="7" t="inlineStr">
        <is>
          <t>DIFF3 — Current Differential Element 3 (if fitted/enabled)</t>
        </is>
      </c>
      <c r="D6" s="4" t="n"/>
      <c r="E6" s="4" t="n"/>
      <c r="F6" s="4" t="n"/>
    </row>
    <row r="7">
      <c r="A7" s="23" t="n">
        <v>4</v>
      </c>
      <c r="B7" s="13" t="inlineStr">
        <is>
          <t>50P1</t>
        </is>
      </c>
      <c r="C7" s="24" t="inlineStr">
        <is>
          <t>W1 Phase Instantaneous OC  (50P11, 50P12, 50P13, 50P14)</t>
        </is>
      </c>
      <c r="D7" s="4" t="n"/>
      <c r="E7" s="4" t="n"/>
      <c r="F7" s="4" t="n"/>
    </row>
    <row r="8">
      <c r="A8" s="22" t="n">
        <v>5</v>
      </c>
      <c r="B8" s="13" t="inlineStr">
        <is>
          <t>50P2</t>
        </is>
      </c>
      <c r="C8" s="7" t="inlineStr">
        <is>
          <t>W2 Phase Instantaneous OC  (50P21, 50P22, 50P23, 50P24)</t>
        </is>
      </c>
      <c r="D8" s="4" t="n"/>
      <c r="E8" s="4" t="n"/>
      <c r="F8" s="4" t="n"/>
    </row>
    <row r="9">
      <c r="A9" s="23" t="n">
        <v>6</v>
      </c>
      <c r="B9" s="13" t="inlineStr">
        <is>
          <t>50G1</t>
        </is>
      </c>
      <c r="C9" s="24" t="inlineStr">
        <is>
          <t>W1 Ground Instantaneous OC  (50G11, 50G12)</t>
        </is>
      </c>
      <c r="D9" s="4" t="n"/>
      <c r="E9" s="4" t="n"/>
      <c r="F9" s="4" t="n"/>
    </row>
    <row r="10">
      <c r="A10" s="22" t="n">
        <v>7</v>
      </c>
      <c r="B10" s="13" t="inlineStr">
        <is>
          <t>50G2</t>
        </is>
      </c>
      <c r="C10" s="7" t="inlineStr">
        <is>
          <t>W2 Ground Instantaneous OC  (50G21, 50G22)</t>
        </is>
      </c>
      <c r="D10" s="4" t="n"/>
      <c r="E10" s="4" t="n"/>
      <c r="F10" s="4" t="n"/>
    </row>
    <row r="11">
      <c r="A11" s="23" t="n">
        <v>8</v>
      </c>
      <c r="B11" s="13" t="inlineStr">
        <is>
          <t>50Q1</t>
        </is>
      </c>
      <c r="C11" s="24" t="inlineStr">
        <is>
          <t>W1 Neg-Seq Instantaneous OC  (50Q11, 50Q12)</t>
        </is>
      </c>
      <c r="D11" s="4" t="n"/>
      <c r="E11" s="4" t="n"/>
      <c r="F11" s="4" t="n"/>
    </row>
    <row r="12">
      <c r="A12" s="22" t="n">
        <v>9</v>
      </c>
      <c r="B12" s="13" t="inlineStr">
        <is>
          <t>50Q2</t>
        </is>
      </c>
      <c r="C12" s="7" t="inlineStr">
        <is>
          <t>W2 Neg-Seq Instantaneous OC  (50Q21, 50Q22)</t>
        </is>
      </c>
      <c r="D12" s="4" t="n"/>
      <c r="E12" s="4" t="n"/>
      <c r="F12" s="4" t="n"/>
    </row>
    <row r="13">
      <c r="A13" s="23" t="n">
        <v>10</v>
      </c>
      <c r="B13" s="13" t="inlineStr">
        <is>
          <t>51P1</t>
        </is>
      </c>
      <c r="C13" s="24" t="inlineStr">
        <is>
          <t>W1 Phase Time OC  (51P1 — U1..U5, C1..C5 or user curve)</t>
        </is>
      </c>
      <c r="D13" s="4" t="n"/>
      <c r="E13" s="4" t="n"/>
      <c r="F13" s="4" t="n"/>
    </row>
    <row r="14">
      <c r="A14" s="22" t="n">
        <v>11</v>
      </c>
      <c r="B14" s="13" t="inlineStr">
        <is>
          <t>51P2</t>
        </is>
      </c>
      <c r="C14" s="7" t="inlineStr">
        <is>
          <t>W2 Phase Time OC  (51P2)</t>
        </is>
      </c>
      <c r="D14" s="4" t="n"/>
      <c r="E14" s="4" t="n"/>
      <c r="F14" s="4" t="n"/>
    </row>
    <row r="15">
      <c r="A15" s="23" t="n">
        <v>12</v>
      </c>
      <c r="B15" s="13" t="inlineStr">
        <is>
          <t>51G1</t>
        </is>
      </c>
      <c r="C15" s="24" t="inlineStr">
        <is>
          <t>W1 Ground Time OC  (51G1)</t>
        </is>
      </c>
      <c r="D15" s="4" t="n"/>
      <c r="E15" s="4" t="n"/>
      <c r="F15" s="4" t="n"/>
    </row>
    <row r="16">
      <c r="A16" s="22" t="n">
        <v>13</v>
      </c>
      <c r="B16" s="13" t="inlineStr">
        <is>
          <t>51G2</t>
        </is>
      </c>
      <c r="C16" s="7" t="inlineStr">
        <is>
          <t>W2 Ground Time OC  (51G2)</t>
        </is>
      </c>
      <c r="D16" s="4" t="n"/>
      <c r="E16" s="4" t="n"/>
      <c r="F16" s="4" t="n"/>
    </row>
    <row r="17">
      <c r="A17" s="23" t="n">
        <v>14</v>
      </c>
      <c r="B17" s="13" t="inlineStr">
        <is>
          <t>51Q1</t>
        </is>
      </c>
      <c r="C17" s="24" t="inlineStr">
        <is>
          <t>W1 Neg-Seq Time OC  (51Q1)</t>
        </is>
      </c>
      <c r="D17" s="4" t="n"/>
      <c r="E17" s="4" t="n"/>
      <c r="F17" s="4" t="n"/>
    </row>
    <row r="18">
      <c r="A18" s="22" t="n">
        <v>15</v>
      </c>
      <c r="B18" s="13" t="inlineStr">
        <is>
          <t>51Q2</t>
        </is>
      </c>
      <c r="C18" s="7" t="inlineStr">
        <is>
          <t>W2 Neg-Seq Time OC  (51Q2)</t>
        </is>
      </c>
      <c r="D18" s="4" t="n"/>
      <c r="E18" s="4" t="n"/>
      <c r="F18" s="4" t="n"/>
    </row>
    <row r="19">
      <c r="A19" s="23" t="n">
        <v>16</v>
      </c>
      <c r="B19" s="13" t="inlineStr">
        <is>
          <t>BF1</t>
        </is>
      </c>
      <c r="C19" s="24" t="inlineStr">
        <is>
          <t>Breaker Failure — Winding 1  (BFI1, BFT1)</t>
        </is>
      </c>
      <c r="D19" s="4" t="n"/>
      <c r="E19" s="4" t="n"/>
      <c r="F19" s="4" t="n"/>
    </row>
    <row r="20">
      <c r="A20" s="22" t="n">
        <v>17</v>
      </c>
      <c r="B20" s="13" t="inlineStr">
        <is>
          <t>BF2</t>
        </is>
      </c>
      <c r="C20" s="7" t="inlineStr">
        <is>
          <t>Breaker Failure — Winding 2  (BFI2, BFT2)</t>
        </is>
      </c>
      <c r="D20" s="4" t="n"/>
      <c r="E20" s="4" t="n"/>
      <c r="F20" s="4" t="n"/>
    </row>
    <row r="21">
      <c r="A21" s="23" t="n">
        <v>18</v>
      </c>
      <c r="B21" s="13" t="inlineStr">
        <is>
          <t>50N1</t>
        </is>
      </c>
      <c r="C21" s="24" t="inlineStr">
        <is>
          <t>Neutral Instantaneous OC 1  (50N11, 50N12) — optional neutral CT</t>
        </is>
      </c>
      <c r="D21" s="4" t="n"/>
      <c r="E21" s="4" t="n"/>
      <c r="F21" s="4" t="n"/>
    </row>
    <row r="22">
      <c r="A22" s="22" t="n">
        <v>19</v>
      </c>
      <c r="B22" s="13" t="inlineStr">
        <is>
          <t>50N2</t>
        </is>
      </c>
      <c r="C22" s="7" t="inlineStr">
        <is>
          <t>Neutral Instantaneous OC 2  (50N21, 50N22) — optional</t>
        </is>
      </c>
      <c r="D22" s="4" t="n"/>
      <c r="E22" s="4" t="n"/>
      <c r="F22" s="4" t="n"/>
    </row>
    <row r="23">
      <c r="A23" s="23" t="n">
        <v>20</v>
      </c>
      <c r="B23" s="13" t="inlineStr">
        <is>
          <t>51N1</t>
        </is>
      </c>
      <c r="C23" s="24" t="inlineStr">
        <is>
          <t>Neutral Time OC  (51N1) — optional</t>
        </is>
      </c>
      <c r="D23" s="4" t="n"/>
      <c r="E23" s="4" t="n"/>
      <c r="F23" s="4" t="n"/>
    </row>
    <row r="24">
      <c r="A24" s="22" t="n">
        <v>21</v>
      </c>
      <c r="B24" s="13" t="inlineStr">
        <is>
          <t>REF</t>
        </is>
      </c>
      <c r="C24" s="7" t="inlineStr">
        <is>
          <t>Restricted Earth Fault  (REF1P, REF1F) — optional</t>
        </is>
      </c>
      <c r="D24" s="4" t="n"/>
      <c r="E24" s="4" t="n"/>
      <c r="F24" s="4" t="n"/>
    </row>
    <row r="25">
      <c r="A25" s="23" t="n">
        <v>22</v>
      </c>
      <c r="B25" s="13" t="inlineStr">
        <is>
          <t>27P1</t>
        </is>
      </c>
      <c r="C25" s="24" t="inlineStr">
        <is>
          <t>Undervoltage 1  (27P1, 27P1T) — requires VT card</t>
        </is>
      </c>
      <c r="D25" s="4" t="n"/>
      <c r="E25" s="4" t="n"/>
      <c r="F25" s="4" t="n"/>
    </row>
    <row r="26">
      <c r="A26" s="22" t="n">
        <v>23</v>
      </c>
      <c r="B26" s="13" t="inlineStr">
        <is>
          <t>27P2</t>
        </is>
      </c>
      <c r="C26" s="7" t="inlineStr">
        <is>
          <t>Undervoltage 2  (27P2, 27P2T) — requires VT card</t>
        </is>
      </c>
      <c r="D26" s="4" t="n"/>
      <c r="E26" s="4" t="n"/>
      <c r="F26" s="4" t="n"/>
    </row>
    <row r="27">
      <c r="A27" s="23" t="n">
        <v>24</v>
      </c>
      <c r="B27" s="13" t="inlineStr">
        <is>
          <t>59P1</t>
        </is>
      </c>
      <c r="C27" s="24" t="inlineStr">
        <is>
          <t>Overvoltage 1  (59P1, 59P1T) — requires VT card</t>
        </is>
      </c>
      <c r="D27" s="4" t="n"/>
      <c r="E27" s="4" t="n"/>
      <c r="F27" s="4" t="n"/>
    </row>
    <row r="28">
      <c r="A28" s="22" t="n">
        <v>25</v>
      </c>
      <c r="B28" s="13" t="inlineStr">
        <is>
          <t>59P2</t>
        </is>
      </c>
      <c r="C28" s="7" t="inlineStr">
        <is>
          <t>Overvoltage 2  (59P2, 59P2T) — requires VT card</t>
        </is>
      </c>
      <c r="D28" s="4" t="n"/>
      <c r="E28" s="4" t="n"/>
      <c r="F28" s="4" t="n"/>
    </row>
    <row r="29">
      <c r="A29" s="23" t="n">
        <v>26</v>
      </c>
      <c r="B29" s="13" t="inlineStr">
        <is>
          <t>59Q</t>
        </is>
      </c>
      <c r="C29" s="24" t="inlineStr">
        <is>
          <t>Neg-Seq Overvoltage  (59Q1, 59Q1T) — requires VT card</t>
        </is>
      </c>
      <c r="D29" s="4" t="n"/>
      <c r="E29" s="4" t="n"/>
      <c r="F29" s="4" t="n"/>
    </row>
    <row r="30">
      <c r="A30" s="22" t="n">
        <v>27</v>
      </c>
      <c r="B30" s="13" t="inlineStr">
        <is>
          <t>24D1</t>
        </is>
      </c>
      <c r="C30" s="7" t="inlineStr">
        <is>
          <t>Volts/Hertz Definite-Time  (24D1, 24D1T) — requires VT card</t>
        </is>
      </c>
      <c r="D30" s="4" t="n"/>
      <c r="E30" s="4" t="n"/>
      <c r="F30" s="4" t="n"/>
    </row>
    <row r="31">
      <c r="A31" s="23" t="n">
        <v>28</v>
      </c>
      <c r="B31" s="13" t="inlineStr">
        <is>
          <t>24C2</t>
        </is>
      </c>
      <c r="C31" s="24" t="inlineStr">
        <is>
          <t>Volts/Hertz Inverse-Time  (24C2, 24C2T) — requires VT card</t>
        </is>
      </c>
      <c r="D31" s="4" t="n"/>
      <c r="E31" s="4" t="n"/>
      <c r="F31" s="4" t="n"/>
    </row>
    <row r="32">
      <c r="A32" s="22" t="n">
        <v>29</v>
      </c>
      <c r="B32" s="13" t="inlineStr">
        <is>
          <t>32</t>
        </is>
      </c>
      <c r="C32" s="7" t="inlineStr">
        <is>
          <t>Directional Power  (3PWR1, 3PWR2) — requires VT card</t>
        </is>
      </c>
      <c r="D32" s="4" t="n"/>
      <c r="E32" s="4" t="n"/>
      <c r="F32" s="4" t="n"/>
    </row>
    <row r="33">
      <c r="A33" s="23" t="n">
        <v>30</v>
      </c>
      <c r="B33" s="13" t="inlineStr">
        <is>
          <t>81D1</t>
        </is>
      </c>
      <c r="C33" s="24" t="inlineStr">
        <is>
          <t>Frequency — element 1  (81D1T) — requires VT card</t>
        </is>
      </c>
      <c r="D33" s="4" t="n"/>
      <c r="E33" s="4" t="n"/>
      <c r="F33" s="4" t="n"/>
    </row>
    <row r="34">
      <c r="A34" s="22" t="n">
        <v>31</v>
      </c>
      <c r="B34" s="13" t="inlineStr">
        <is>
          <t>81D2</t>
        </is>
      </c>
      <c r="C34" s="7" t="inlineStr">
        <is>
          <t>Frequency — element 2  (81D2T) — requires VT card</t>
        </is>
      </c>
      <c r="D34" s="4" t="n"/>
      <c r="E34" s="4" t="n"/>
      <c r="F34" s="4" t="n"/>
    </row>
    <row r="35">
      <c r="A35" s="23" t="n">
        <v>32</v>
      </c>
      <c r="B35" s="13" t="inlineStr">
        <is>
          <t>81D3</t>
        </is>
      </c>
      <c r="C35" s="24" t="inlineStr">
        <is>
          <t>Frequency — element 3  (81D3T) — requires VT card</t>
        </is>
      </c>
      <c r="D35" s="4" t="n"/>
      <c r="E35" s="4" t="n"/>
      <c r="F35" s="4" t="n"/>
    </row>
    <row r="36">
      <c r="A36" s="22" t="n">
        <v>33</v>
      </c>
      <c r="B36" s="13" t="inlineStr">
        <is>
          <t>81D4</t>
        </is>
      </c>
      <c r="C36" s="7" t="inlineStr">
        <is>
          <t>Frequency — element 4  (81D4T) — requires VT card</t>
        </is>
      </c>
      <c r="D36" s="4" t="n"/>
      <c r="E36" s="4" t="n"/>
      <c r="F36" s="4" t="n"/>
    </row>
    <row r="37">
      <c r="A37" s="23" t="n">
        <v>34</v>
      </c>
      <c r="B37" s="13" t="inlineStr">
        <is>
          <t>RTD</t>
        </is>
      </c>
      <c r="C37" s="24" t="inlineStr">
        <is>
          <t>RTD Thermal Protection  (RTDT, RTDFLT) — requires RTD card</t>
        </is>
      </c>
      <c r="D37" s="4" t="n"/>
      <c r="E37" s="4" t="n"/>
      <c r="F37" s="4" t="n"/>
    </row>
  </sheetData>
  <mergeCells count="1">
    <mergeCell ref="A1:F1"/>
  </mergeCells>
  <conditionalFormatting sqref="F1:F200">
    <cfRule type="cellIs" priority="1" operator="equal" dxfId="0">
      <formula>"PASS"</formula>
    </cfRule>
    <cfRule type="cellIs" priority="2" operator="equal" dxfId="1">
      <formula>"FAIL"</formula>
    </cfRule>
  </conditionalFormatting>
  <pageMargins left="0.4" right="0.4" top="0.6" bottom="0.6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4" customWidth="1" min="4" max="4"/>
    <col width="12" customWidth="1" min="5" max="5"/>
    <col width="14" customWidth="1" min="6" max="6"/>
    <col width="10" customWidth="1" min="7" max="7"/>
  </cols>
  <sheetData>
    <row r="1" ht="26" customHeight="1">
      <c r="A1" s="1" t="inlineStr">
        <is>
          <t>PROTECTION ELEMENT TEST RESULTS</t>
        </is>
      </c>
    </row>
    <row r="2" ht="32" customHeight="1">
      <c r="A2" s="15" t="inlineStr">
        <is>
          <t>Setting column = relay pickup setting (secondary A, V, or %). Measured Pickup = value at which relay output asserted during injection. Pickup Err % = auto-calculated. Result = PASS if |Err| ≤ TolPickup_pct.</t>
        </is>
      </c>
    </row>
    <row r="3">
      <c r="A3" s="5" t="inlineStr">
        <is>
          <t>Element</t>
        </is>
      </c>
      <c r="B3" s="5" t="inlineStr">
        <is>
          <t>Description</t>
        </is>
      </c>
      <c r="C3" s="5" t="inlineStr">
        <is>
          <t>Pickup Setting
(sec A, V, %)</t>
        </is>
      </c>
      <c r="D3" s="5" t="inlineStr">
        <is>
          <t>Measured
Pickup</t>
        </is>
      </c>
      <c r="E3" s="5" t="inlineStr">
        <is>
          <t>Pickup
Err %</t>
        </is>
      </c>
      <c r="F3" s="5" t="inlineStr">
        <is>
          <t>Measured
Time (s)</t>
        </is>
      </c>
      <c r="G3" s="5" t="inlineStr">
        <is>
          <t>Result</t>
        </is>
      </c>
    </row>
    <row r="4">
      <c r="A4" s="13" t="inlineStr">
        <is>
          <t>87-1 R</t>
        </is>
      </c>
      <c r="B4" s="7" t="inlineStr">
        <is>
          <t>Differential restrained pickup — 87AP × TAP1  (A secondary)</t>
        </is>
      </c>
      <c r="C4" s="4" t="n"/>
      <c r="D4" s="4" t="n"/>
      <c r="E4" s="17">
        <f>IFERROR(IF(OR(C4="",D4=""),"",(D4-C4)/C4*100),"—")</f>
        <v/>
      </c>
      <c r="F4" s="4" t="n"/>
      <c r="G4" s="20">
        <f>IFERROR(IF(AND(C4="",D4=""),"—",IF(AND(ISNUMBER(E4),ABS(E4)&lt;=TolPickup_pct),"PASS","FAIL")),"—")</f>
        <v/>
      </c>
    </row>
    <row r="5">
      <c r="A5" s="13" t="inlineStr">
        <is>
          <t>87-1 U</t>
        </is>
      </c>
      <c r="B5" s="24" t="inlineStr">
        <is>
          <t>Differential unrestrained pickup — U87P × TAP1  (A secondary)</t>
        </is>
      </c>
      <c r="C5" s="4" t="n"/>
      <c r="D5" s="4" t="n"/>
      <c r="E5" s="17">
        <f>IFERROR(IF(OR(C5="",D5=""),"",(D5-C5)/C5*100),"—")</f>
        <v/>
      </c>
      <c r="F5" s="4" t="n"/>
      <c r="G5" s="20">
        <f>IFERROR(IF(AND(C5="",D5=""),"—",IF(AND(ISNUMBER(E5),ABS(E5)&lt;=TolPickup_pct),"PASS","FAIL")),"—")</f>
        <v/>
      </c>
    </row>
    <row r="6">
      <c r="A6" s="13" t="inlineStr">
        <is>
          <t>87-2 R</t>
        </is>
      </c>
      <c r="B6" s="7" t="inlineStr">
        <is>
          <t>Differential restrained pickup — 87AP × TAP2  (if enabled)</t>
        </is>
      </c>
      <c r="C6" s="4" t="n"/>
      <c r="D6" s="4" t="n"/>
      <c r="E6" s="17">
        <f>IFERROR(IF(OR(C6="",D6=""),"",(D6-C6)/C6*100),"—")</f>
        <v/>
      </c>
      <c r="F6" s="4" t="n"/>
      <c r="G6" s="20">
        <f>IFERROR(IF(AND(C6="",D6=""),"—",IF(AND(ISNUMBER(E6),ABS(E6)&lt;=TolPickup_pct),"PASS","FAIL")),"—")</f>
        <v/>
      </c>
    </row>
    <row r="7">
      <c r="A7" s="13" t="inlineStr">
        <is>
          <t>50P11</t>
        </is>
      </c>
      <c r="B7" s="24" t="inlineStr">
        <is>
          <t>W1 Phase Inst OC — Stage 1  (A secondary)</t>
        </is>
      </c>
      <c r="C7" s="4" t="n"/>
      <c r="D7" s="4" t="n"/>
      <c r="E7" s="17">
        <f>IFERROR(IF(OR(C7="",D7=""),"",(D7-C7)/C7*100),"—")</f>
        <v/>
      </c>
      <c r="F7" s="4" t="n"/>
      <c r="G7" s="20">
        <f>IFERROR(IF(AND(C7="",D7=""),"—",IF(AND(ISNUMBER(E7),ABS(E7)&lt;=TolPickup_pct),"PASS","FAIL")),"—")</f>
        <v/>
      </c>
    </row>
    <row r="8">
      <c r="A8" s="13" t="inlineStr">
        <is>
          <t>50P12</t>
        </is>
      </c>
      <c r="B8" s="7" t="inlineStr">
        <is>
          <t>W1 Phase Inst OC — Stage 2  (A secondary)</t>
        </is>
      </c>
      <c r="C8" s="4" t="n"/>
      <c r="D8" s="4" t="n"/>
      <c r="E8" s="17">
        <f>IFERROR(IF(OR(C8="",D8=""),"",(D8-C8)/C8*100),"—")</f>
        <v/>
      </c>
      <c r="F8" s="4" t="n"/>
      <c r="G8" s="20">
        <f>IFERROR(IF(AND(C8="",D8=""),"—",IF(AND(ISNUMBER(E8),ABS(E8)&lt;=TolPickup_pct),"PASS","FAIL")),"—")</f>
        <v/>
      </c>
    </row>
    <row r="9">
      <c r="A9" s="13" t="inlineStr">
        <is>
          <t>50P21</t>
        </is>
      </c>
      <c r="B9" s="24" t="inlineStr">
        <is>
          <t>W2 Phase Inst OC — Stage 1  (A secondary)</t>
        </is>
      </c>
      <c r="C9" s="4" t="n"/>
      <c r="D9" s="4" t="n"/>
      <c r="E9" s="17">
        <f>IFERROR(IF(OR(C9="",D9=""),"",(D9-C9)/C9*100),"—")</f>
        <v/>
      </c>
      <c r="F9" s="4" t="n"/>
      <c r="G9" s="20">
        <f>IFERROR(IF(AND(C9="",D9=""),"—",IF(AND(ISNUMBER(E9),ABS(E9)&lt;=TolPickup_pct),"PASS","FAIL")),"—")</f>
        <v/>
      </c>
    </row>
    <row r="10">
      <c r="A10" s="13" t="inlineStr">
        <is>
          <t>50P22</t>
        </is>
      </c>
      <c r="B10" s="7" t="inlineStr">
        <is>
          <t>W2 Phase Inst OC — Stage 2  (A secondary)</t>
        </is>
      </c>
      <c r="C10" s="4" t="n"/>
      <c r="D10" s="4" t="n"/>
      <c r="E10" s="17">
        <f>IFERROR(IF(OR(C10="",D10=""),"",(D10-C10)/C10*100),"—")</f>
        <v/>
      </c>
      <c r="F10" s="4" t="n"/>
      <c r="G10" s="20">
        <f>IFERROR(IF(AND(C10="",D10=""),"—",IF(AND(ISNUMBER(E10),ABS(E10)&lt;=TolPickup_pct),"PASS","FAIL")),"—")</f>
        <v/>
      </c>
    </row>
    <row r="11">
      <c r="A11" s="13" t="inlineStr">
        <is>
          <t>50G11</t>
        </is>
      </c>
      <c r="B11" s="24" t="inlineStr">
        <is>
          <t>W1 Ground Inst OC — Stage 1  (A secondary)</t>
        </is>
      </c>
      <c r="C11" s="4" t="n"/>
      <c r="D11" s="4" t="n"/>
      <c r="E11" s="17">
        <f>IFERROR(IF(OR(C11="",D11=""),"",(D11-C11)/C11*100),"—")</f>
        <v/>
      </c>
      <c r="F11" s="4" t="n"/>
      <c r="G11" s="20">
        <f>IFERROR(IF(AND(C11="",D11=""),"—",IF(AND(ISNUMBER(E11),ABS(E11)&lt;=TolPickup_pct),"PASS","FAIL")),"—")</f>
        <v/>
      </c>
    </row>
    <row r="12">
      <c r="A12" s="13" t="inlineStr">
        <is>
          <t>50G21</t>
        </is>
      </c>
      <c r="B12" s="7" t="inlineStr">
        <is>
          <t>W2 Ground Inst OC — Stage 1  (A secondary)</t>
        </is>
      </c>
      <c r="C12" s="4" t="n"/>
      <c r="D12" s="4" t="n"/>
      <c r="E12" s="17">
        <f>IFERROR(IF(OR(C12="",D12=""),"",(D12-C12)/C12*100),"—")</f>
        <v/>
      </c>
      <c r="F12" s="4" t="n"/>
      <c r="G12" s="20">
        <f>IFERROR(IF(AND(C12="",D12=""),"—",IF(AND(ISNUMBER(E12),ABS(E12)&lt;=TolPickup_pct),"PASS","FAIL")),"—")</f>
        <v/>
      </c>
    </row>
    <row r="13">
      <c r="A13" s="13" t="inlineStr">
        <is>
          <t>50Q11</t>
        </is>
      </c>
      <c r="B13" s="24" t="inlineStr">
        <is>
          <t>W1 Neg-Seq Inst OC — Stage 1  (A secondary)</t>
        </is>
      </c>
      <c r="C13" s="4" t="n"/>
      <c r="D13" s="4" t="n"/>
      <c r="E13" s="17">
        <f>IFERROR(IF(OR(C13="",D13=""),"",(D13-C13)/C13*100),"—")</f>
        <v/>
      </c>
      <c r="F13" s="4" t="n"/>
      <c r="G13" s="20">
        <f>IFERROR(IF(AND(C13="",D13=""),"—",IF(AND(ISNUMBER(E13),ABS(E13)&lt;=TolPickup_pct),"PASS","FAIL")),"—")</f>
        <v/>
      </c>
    </row>
    <row r="14">
      <c r="A14" s="13" t="inlineStr">
        <is>
          <t>50Q21</t>
        </is>
      </c>
      <c r="B14" s="7" t="inlineStr">
        <is>
          <t>W2 Neg-Seq Inst OC — Stage 1  (A secondary)</t>
        </is>
      </c>
      <c r="C14" s="4" t="n"/>
      <c r="D14" s="4" t="n"/>
      <c r="E14" s="17">
        <f>IFERROR(IF(OR(C14="",D14=""),"",(D14-C14)/C14*100),"—")</f>
        <v/>
      </c>
      <c r="F14" s="4" t="n"/>
      <c r="G14" s="20">
        <f>IFERROR(IF(AND(C14="",D14=""),"—",IF(AND(ISNUMBER(E14),ABS(E14)&lt;=TolPickup_pct),"PASS","FAIL")),"—")</f>
        <v/>
      </c>
    </row>
    <row r="15">
      <c r="A15" s="13" t="inlineStr">
        <is>
          <t>51P1</t>
        </is>
      </c>
      <c r="B15" s="24" t="inlineStr">
        <is>
          <t>W1 Phase TOC — pickup  (A secondary)</t>
        </is>
      </c>
      <c r="C15" s="4" t="n"/>
      <c r="D15" s="4" t="n"/>
      <c r="E15" s="17">
        <f>IFERROR(IF(OR(C15="",D15=""),"",(D15-C15)/C15*100),"—")</f>
        <v/>
      </c>
      <c r="F15" s="4" t="n"/>
      <c r="G15" s="20">
        <f>IFERROR(IF(AND(C15="",D15=""),"—",IF(AND(ISNUMBER(E15),ABS(E15)&lt;=TolPickup_pct),"PASS","FAIL")),"—")</f>
        <v/>
      </c>
    </row>
    <row r="16">
      <c r="A16" s="13" t="inlineStr">
        <is>
          <t>51G1</t>
        </is>
      </c>
      <c r="B16" s="7" t="inlineStr">
        <is>
          <t>W1 Ground TOC — pickup  (A secondary)</t>
        </is>
      </c>
      <c r="C16" s="4" t="n"/>
      <c r="D16" s="4" t="n"/>
      <c r="E16" s="17">
        <f>IFERROR(IF(OR(C16="",D16=""),"",(D16-C16)/C16*100),"—")</f>
        <v/>
      </c>
      <c r="F16" s="4" t="n"/>
      <c r="G16" s="20">
        <f>IFERROR(IF(AND(C16="",D16=""),"—",IF(AND(ISNUMBER(E16),ABS(E16)&lt;=TolPickup_pct),"PASS","FAIL")),"—")</f>
        <v/>
      </c>
    </row>
    <row r="17">
      <c r="A17" s="13" t="inlineStr">
        <is>
          <t>51Q1</t>
        </is>
      </c>
      <c r="B17" s="24" t="inlineStr">
        <is>
          <t>W1 Neg-Seq TOC — pickup  (A secondary)</t>
        </is>
      </c>
      <c r="C17" s="4" t="n"/>
      <c r="D17" s="4" t="n"/>
      <c r="E17" s="17">
        <f>IFERROR(IF(OR(C17="",D17=""),"",(D17-C17)/C17*100),"—")</f>
        <v/>
      </c>
      <c r="F17" s="4" t="n"/>
      <c r="G17" s="20">
        <f>IFERROR(IF(AND(C17="",D17=""),"—",IF(AND(ISNUMBER(E17),ABS(E17)&lt;=TolPickup_pct),"PASS","FAIL")),"—")</f>
        <v/>
      </c>
    </row>
    <row r="18">
      <c r="A18" s="13" t="inlineStr">
        <is>
          <t>51P2</t>
        </is>
      </c>
      <c r="B18" s="7" t="inlineStr">
        <is>
          <t>W2 Phase TOC — pickup  (A secondary)</t>
        </is>
      </c>
      <c r="C18" s="4" t="n"/>
      <c r="D18" s="4" t="n"/>
      <c r="E18" s="17">
        <f>IFERROR(IF(OR(C18="",D18=""),"",(D18-C18)/C18*100),"—")</f>
        <v/>
      </c>
      <c r="F18" s="4" t="n"/>
      <c r="G18" s="20">
        <f>IFERROR(IF(AND(C18="",D18=""),"—",IF(AND(ISNUMBER(E18),ABS(E18)&lt;=TolPickup_pct),"PASS","FAIL")),"—")</f>
        <v/>
      </c>
    </row>
    <row r="19">
      <c r="A19" s="13" t="inlineStr">
        <is>
          <t>51G2</t>
        </is>
      </c>
      <c r="B19" s="24" t="inlineStr">
        <is>
          <t>W2 Ground TOC — pickup  (A secondary)</t>
        </is>
      </c>
      <c r="C19" s="4" t="n"/>
      <c r="D19" s="4" t="n"/>
      <c r="E19" s="17">
        <f>IFERROR(IF(OR(C19="",D19=""),"",(D19-C19)/C19*100),"—")</f>
        <v/>
      </c>
      <c r="F19" s="4" t="n"/>
      <c r="G19" s="20">
        <f>IFERROR(IF(AND(C19="",D19=""),"—",IF(AND(ISNUMBER(E19),ABS(E19)&lt;=TolPickup_pct),"PASS","FAIL")),"—")</f>
        <v/>
      </c>
    </row>
    <row r="20">
      <c r="A20" s="13" t="inlineStr">
        <is>
          <t>51Q2</t>
        </is>
      </c>
      <c r="B20" s="7" t="inlineStr">
        <is>
          <t>W2 Neg-Seq TOC — pickup  (A secondary)</t>
        </is>
      </c>
      <c r="C20" s="4" t="n"/>
      <c r="D20" s="4" t="n"/>
      <c r="E20" s="17">
        <f>IFERROR(IF(OR(C20="",D20=""),"",(D20-C20)/C20*100),"—")</f>
        <v/>
      </c>
      <c r="F20" s="4" t="n"/>
      <c r="G20" s="20">
        <f>IFERROR(IF(AND(C20="",D20=""),"—",IF(AND(ISNUMBER(E20),ABS(E20)&lt;=TolPickup_pct),"PASS","FAIL")),"—")</f>
        <v/>
      </c>
    </row>
    <row r="21">
      <c r="A21" s="13" t="inlineStr">
        <is>
          <t>50N11</t>
        </is>
      </c>
      <c r="B21" s="24" t="inlineStr">
        <is>
          <t>Neutral Inst OC 1  (A secondary, if enabled)</t>
        </is>
      </c>
      <c r="C21" s="4" t="n"/>
      <c r="D21" s="4" t="n"/>
      <c r="E21" s="17">
        <f>IFERROR(IF(OR(C21="",D21=""),"",(D21-C21)/C21*100),"—")</f>
        <v/>
      </c>
      <c r="F21" s="4" t="n"/>
      <c r="G21" s="20">
        <f>IFERROR(IF(AND(C21="",D21=""),"—",IF(AND(ISNUMBER(E21),ABS(E21)&lt;=TolPickup_pct),"PASS","FAIL")),"—")</f>
        <v/>
      </c>
    </row>
    <row r="22">
      <c r="A22" s="13" t="inlineStr">
        <is>
          <t>51N1</t>
        </is>
      </c>
      <c r="B22" s="7" t="inlineStr">
        <is>
          <t>Neutral TOC — pickup  (A secondary, if enabled)</t>
        </is>
      </c>
      <c r="C22" s="4" t="n"/>
      <c r="D22" s="4" t="n"/>
      <c r="E22" s="17">
        <f>IFERROR(IF(OR(C22="",D22=""),"",(D22-C22)/C22*100),"—")</f>
        <v/>
      </c>
      <c r="F22" s="4" t="n"/>
      <c r="G22" s="20">
        <f>IFERROR(IF(AND(C22="",D22=""),"—",IF(AND(ISNUMBER(E22),ABS(E22)&lt;=TolPickup_pct),"PASS","FAIL")),"—")</f>
        <v/>
      </c>
    </row>
    <row r="23">
      <c r="A23" s="13" t="inlineStr">
        <is>
          <t>REF1</t>
        </is>
      </c>
      <c r="B23" s="24" t="inlineStr">
        <is>
          <t>Restricted Earth Fault  (A secondary, if enabled)</t>
        </is>
      </c>
      <c r="C23" s="4" t="n"/>
      <c r="D23" s="4" t="n"/>
      <c r="E23" s="17">
        <f>IFERROR(IF(OR(C23="",D23=""),"",(D23-C23)/C23*100),"—")</f>
        <v/>
      </c>
      <c r="F23" s="4" t="n"/>
      <c r="G23" s="20">
        <f>IFERROR(IF(AND(C23="",D23=""),"—",IF(AND(ISNUMBER(E23),ABS(E23)&lt;=TolPickup_pct),"PASS","FAIL")),"—")</f>
        <v/>
      </c>
    </row>
    <row r="24">
      <c r="A24" s="13" t="inlineStr">
        <is>
          <t>27P1</t>
        </is>
      </c>
      <c r="B24" s="7" t="inlineStr">
        <is>
          <t>Undervoltage 1  (V secondary, if enabled)</t>
        </is>
      </c>
      <c r="C24" s="4" t="n"/>
      <c r="D24" s="4" t="n"/>
      <c r="E24" s="17">
        <f>IFERROR(IF(OR(C24="",D24=""),"",(D24-C24)/C24*100),"—")</f>
        <v/>
      </c>
      <c r="F24" s="4" t="n"/>
      <c r="G24" s="20">
        <f>IFERROR(IF(AND(C24="",D24=""),"—",IF(AND(ISNUMBER(E24),ABS(E24)&lt;=TolPickup_pct),"PASS","FAIL")),"—")</f>
        <v/>
      </c>
    </row>
    <row r="25">
      <c r="A25" s="13" t="inlineStr">
        <is>
          <t>27P2</t>
        </is>
      </c>
      <c r="B25" s="24" t="inlineStr">
        <is>
          <t>Undervoltage 2  (V secondary, if enabled)</t>
        </is>
      </c>
      <c r="C25" s="4" t="n"/>
      <c r="D25" s="4" t="n"/>
      <c r="E25" s="17">
        <f>IFERROR(IF(OR(C25="",D25=""),"",(D25-C25)/C25*100),"—")</f>
        <v/>
      </c>
      <c r="F25" s="4" t="n"/>
      <c r="G25" s="20">
        <f>IFERROR(IF(AND(C25="",D25=""),"—",IF(AND(ISNUMBER(E25),ABS(E25)&lt;=TolPickup_pct),"PASS","FAIL")),"—")</f>
        <v/>
      </c>
    </row>
    <row r="26">
      <c r="A26" s="13" t="inlineStr">
        <is>
          <t>59P1</t>
        </is>
      </c>
      <c r="B26" s="7" t="inlineStr">
        <is>
          <t>Overvoltage 1  (V secondary, if enabled)</t>
        </is>
      </c>
      <c r="C26" s="4" t="n"/>
      <c r="D26" s="4" t="n"/>
      <c r="E26" s="17">
        <f>IFERROR(IF(OR(C26="",D26=""),"",(D26-C26)/C26*100),"—")</f>
        <v/>
      </c>
      <c r="F26" s="4" t="n"/>
      <c r="G26" s="20">
        <f>IFERROR(IF(AND(C26="",D26=""),"—",IF(AND(ISNUMBER(E26),ABS(E26)&lt;=TolPickup_pct),"PASS","FAIL")),"—")</f>
        <v/>
      </c>
    </row>
    <row r="27">
      <c r="A27" s="13" t="inlineStr">
        <is>
          <t>59P2</t>
        </is>
      </c>
      <c r="B27" s="24" t="inlineStr">
        <is>
          <t>Overvoltage 2  (V secondary, if enabled)</t>
        </is>
      </c>
      <c r="C27" s="4" t="n"/>
      <c r="D27" s="4" t="n"/>
      <c r="E27" s="17">
        <f>IFERROR(IF(OR(C27="",D27=""),"",(D27-C27)/C27*100),"—")</f>
        <v/>
      </c>
      <c r="F27" s="4" t="n"/>
      <c r="G27" s="20">
        <f>IFERROR(IF(AND(C27="",D27=""),"—",IF(AND(ISNUMBER(E27),ABS(E27)&lt;=TolPickup_pct),"PASS","FAIL")),"—")</f>
        <v/>
      </c>
    </row>
    <row r="28">
      <c r="A28" s="13" t="inlineStr">
        <is>
          <t>24D1</t>
        </is>
      </c>
      <c r="B28" s="7" t="inlineStr">
        <is>
          <t>Volts/Hertz definite-time  (%, if enabled)</t>
        </is>
      </c>
      <c r="C28" s="4" t="n"/>
      <c r="D28" s="4" t="n"/>
      <c r="E28" s="17">
        <f>IFERROR(IF(OR(C28="",D28=""),"",(D28-C28)/C28*100),"—")</f>
        <v/>
      </c>
      <c r="F28" s="4" t="n"/>
      <c r="G28" s="20">
        <f>IFERROR(IF(AND(C28="",D28=""),"—",IF(AND(ISNUMBER(E28),ABS(E28)&lt;=TolPickup_pct),"PASS","FAIL")),"—")</f>
        <v/>
      </c>
    </row>
    <row r="29">
      <c r="A29" s="13" t="inlineStr">
        <is>
          <t>24C2</t>
        </is>
      </c>
      <c r="B29" s="24" t="inlineStr">
        <is>
          <t>Volts/Hertz inverse-time  (%, if enabled)</t>
        </is>
      </c>
      <c r="C29" s="4" t="n"/>
      <c r="D29" s="4" t="n"/>
      <c r="E29" s="17">
        <f>IFERROR(IF(OR(C29="",D29=""),"",(D29-C29)/C29*100),"—")</f>
        <v/>
      </c>
      <c r="F29" s="4" t="n"/>
      <c r="G29" s="20">
        <f>IFERROR(IF(AND(C29="",D29=""),"—",IF(AND(ISNUMBER(E29),ABS(E29)&lt;=TolPickup_pct),"PASS","FAIL")),"—")</f>
        <v/>
      </c>
    </row>
    <row r="30">
      <c r="A30" s="13" t="inlineStr">
        <is>
          <t>32-1</t>
        </is>
      </c>
      <c r="B30" s="7" t="inlineStr">
        <is>
          <t>Directional Power 1  (kVA secondary, if enabled)</t>
        </is>
      </c>
      <c r="C30" s="4" t="n"/>
      <c r="D30" s="4" t="n"/>
      <c r="E30" s="17">
        <f>IFERROR(IF(OR(C30="",D30=""),"",(D30-C30)/C30*100),"—")</f>
        <v/>
      </c>
      <c r="F30" s="4" t="n"/>
      <c r="G30" s="20">
        <f>IFERROR(IF(AND(C30="",D30=""),"—",IF(AND(ISNUMBER(E30),ABS(E30)&lt;=TolPickup_pct),"PASS","FAIL")),"—")</f>
        <v/>
      </c>
    </row>
    <row r="31">
      <c r="A31" s="13" t="inlineStr">
        <is>
          <t>81D1</t>
        </is>
      </c>
      <c r="B31" s="24" t="inlineStr">
        <is>
          <t>Frequency 1  (Hz, if enabled)</t>
        </is>
      </c>
      <c r="C31" s="4" t="n"/>
      <c r="D31" s="4" t="n"/>
      <c r="E31" s="17">
        <f>IFERROR(IF(OR(C31="",D31=""),"",(D31-C31)/C31*100),"—")</f>
        <v/>
      </c>
      <c r="F31" s="4" t="n"/>
      <c r="G31" s="20">
        <f>IFERROR(IF(AND(C31="",D31=""),"—",IF(AND(ISNUMBER(E31),ABS(E31)&lt;=TolPickup_pct),"PASS","FAIL")),"—")</f>
        <v/>
      </c>
    </row>
    <row r="32">
      <c r="A32" s="13" t="inlineStr">
        <is>
          <t>81D2</t>
        </is>
      </c>
      <c r="B32" s="7" t="inlineStr">
        <is>
          <t>Frequency 2  (Hz, if enabled)</t>
        </is>
      </c>
      <c r="C32" s="4" t="n"/>
      <c r="D32" s="4" t="n"/>
      <c r="E32" s="17">
        <f>IFERROR(IF(OR(C32="",D32=""),"",(D32-C32)/C32*100),"—")</f>
        <v/>
      </c>
      <c r="F32" s="4" t="n"/>
      <c r="G32" s="20">
        <f>IFERROR(IF(AND(C32="",D32=""),"—",IF(AND(ISNUMBER(E32),ABS(E32)&lt;=TolPickup_pct),"PASS","FAIL")),"—")</f>
        <v/>
      </c>
    </row>
    <row r="33">
      <c r="A33" s="13" t="inlineStr">
        <is>
          <t>RTD</t>
        </is>
      </c>
      <c r="B33" s="24" t="inlineStr">
        <is>
          <t>RTD trip threshold  (°C, if fitted)</t>
        </is>
      </c>
      <c r="C33" s="4" t="n"/>
      <c r="D33" s="4" t="n"/>
      <c r="E33" s="17">
        <f>IFERROR(IF(OR(C33="",D33=""),"",(D33-C33)/C33*100),"—")</f>
        <v/>
      </c>
      <c r="F33" s="4" t="n"/>
      <c r="G33" s="20">
        <f>IFERROR(IF(AND(C33="",D33=""),"—",IF(AND(ISNUMBER(E33),ABS(E33)&lt;=TolPickup_pct),"PASS","FAIL")),"—")</f>
        <v/>
      </c>
    </row>
    <row r="34">
      <c r="A34" s="13" t="inlineStr">
        <is>
          <t>BFD1</t>
        </is>
      </c>
      <c r="B34" s="7" t="inlineStr">
        <is>
          <t>Breaker Failure 1 — BFD1 timer  (s)</t>
        </is>
      </c>
      <c r="C34" s="4" t="n"/>
      <c r="D34" s="4" t="n"/>
      <c r="E34" s="17">
        <f>IFERROR(IF(OR(C34="",D34=""),"",(D34-C34)/C34*100),"—")</f>
        <v/>
      </c>
      <c r="F34" s="4" t="n"/>
      <c r="G34" s="20">
        <f>IFERROR(IF(AND(C34="",D34=""),"—",IF(AND(ISNUMBER(E34),ABS(E34)&lt;=TolPickup_pct),"PASS","FAIL")),"—")</f>
        <v/>
      </c>
    </row>
    <row r="35">
      <c r="A35" s="13" t="inlineStr">
        <is>
          <t>BFD2</t>
        </is>
      </c>
      <c r="B35" s="24" t="inlineStr">
        <is>
          <t>Breaker Failure 2 — BFD2 timer  (s)</t>
        </is>
      </c>
      <c r="C35" s="4" t="n"/>
      <c r="D35" s="4" t="n"/>
      <c r="E35" s="17">
        <f>IFERROR(IF(OR(C35="",D35=""),"",(D35-C35)/C35*100),"—")</f>
        <v/>
      </c>
      <c r="F35" s="4" t="n"/>
      <c r="G35" s="20">
        <f>IFERROR(IF(AND(C35="",D35=""),"—",IF(AND(ISNUMBER(E35),ABS(E35)&lt;=TolPickup_pct),"PASS","FAIL")),"—")</f>
        <v/>
      </c>
    </row>
  </sheetData>
  <mergeCells count="2">
    <mergeCell ref="A2:G2"/>
    <mergeCell ref="A1:G1"/>
  </mergeCells>
  <conditionalFormatting sqref="G1:G200">
    <cfRule type="cellIs" priority="1" operator="equal" dxfId="0">
      <formula>"PASS"</formula>
    </cfRule>
    <cfRule type="cellIs" priority="2" operator="equal" dxfId="1">
      <formula>"FAIL"</formula>
    </cfRule>
  </conditionalFormatting>
  <pageMargins left="0.4" right="0.4" top="0.6" bottom="0.6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  <col width="20" customWidth="1" min="4" max="4"/>
  </cols>
  <sheetData>
    <row r="1" ht="26" customHeight="1">
      <c r="A1" s="1" t="inlineStr">
        <is>
          <t>POST-TEST CHECKS</t>
        </is>
      </c>
    </row>
    <row r="3">
      <c r="A3" s="2" t="inlineStr">
        <is>
          <t>8.1  SETTINGS RESTORE &amp; VERIFICATION</t>
        </is>
      </c>
    </row>
    <row r="4">
      <c r="A4" s="5" t="inlineStr">
        <is>
          <t>Check</t>
        </is>
      </c>
      <c r="B4" s="5" t="inlineStr">
        <is>
          <t>Expected / Action</t>
        </is>
      </c>
      <c r="C4" s="5" t="inlineStr">
        <is>
          <t>Result</t>
        </is>
      </c>
      <c r="D4" s="5" t="inlineStr">
        <is>
          <t>Notes</t>
        </is>
      </c>
    </row>
    <row r="5">
      <c r="A5" s="3" t="inlineStr">
        <is>
          <t>Issue SHOW &lt;Enter&gt; — verify settings unchanged</t>
        </is>
      </c>
      <c r="B5" s="6" t="inlineStr">
        <is>
          <t>Match approved settings file</t>
        </is>
      </c>
      <c r="C5" s="4" t="n"/>
      <c r="D5" s="4" t="n"/>
    </row>
    <row r="6">
      <c r="A6" s="3" t="inlineStr">
        <is>
          <t>All test-forced SELOGIC equations restored</t>
        </is>
      </c>
      <c r="B6" s="6" t="inlineStr">
        <is>
          <t>OUT101:=, SV variables correct</t>
        </is>
      </c>
      <c r="C6" s="4" t="n"/>
      <c r="D6" s="4" t="n"/>
    </row>
    <row r="7">
      <c r="A7" s="3" t="inlineStr">
        <is>
          <t>Active setting group restored to normal</t>
        </is>
      </c>
      <c r="B7" s="6" t="inlineStr">
        <is>
          <t>Group 1 or as applicable</t>
        </is>
      </c>
      <c r="C7" s="4" t="n"/>
      <c r="D7" s="4" t="n"/>
    </row>
    <row r="8">
      <c r="A8" s="3" t="inlineStr">
        <is>
          <t>ENABLED LED illuminated (green)</t>
        </is>
      </c>
      <c r="B8" s="6" t="inlineStr">
        <is>
          <t>Relay in service</t>
        </is>
      </c>
      <c r="C8" s="4" t="n"/>
      <c r="D8" s="4" t="n"/>
    </row>
    <row r="10">
      <c r="A10" s="2" t="inlineStr">
        <is>
          <t>8.2  FINAL SELF-TEST  (STA Command)</t>
        </is>
      </c>
    </row>
    <row r="11">
      <c r="A11" s="5" t="inlineStr">
        <is>
          <t>Check</t>
        </is>
      </c>
      <c r="B11" s="5" t="inlineStr">
        <is>
          <t>Expected / Action</t>
        </is>
      </c>
      <c r="C11" s="5" t="inlineStr">
        <is>
          <t>Result</t>
        </is>
      </c>
      <c r="D11" s="5" t="inlineStr">
        <is>
          <t>Notes</t>
        </is>
      </c>
    </row>
    <row r="12">
      <c r="A12" s="3" t="inlineStr">
        <is>
          <t>Issue STA &lt;Enter&gt; — all items OK</t>
        </is>
      </c>
      <c r="B12" s="6" t="inlineStr">
        <is>
          <t>No WARN or FAIL items</t>
        </is>
      </c>
      <c r="C12" s="4" t="n"/>
      <c r="D12" s="4" t="n"/>
    </row>
    <row r="13">
      <c r="A13" s="3" t="inlineStr">
        <is>
          <t>HALARM = 0 (no hardware alarm)</t>
        </is>
      </c>
      <c r="B13" s="6" t="inlineStr">
        <is>
          <t>Relay word bit confirmed 0</t>
        </is>
      </c>
      <c r="C13" s="4" t="n"/>
      <c r="D13" s="4" t="n"/>
    </row>
    <row r="14">
      <c r="A14" s="3" t="inlineStr">
        <is>
          <t>SALARM = 0 (no software alarm)</t>
        </is>
      </c>
      <c r="B14" s="6" t="inlineStr">
        <is>
          <t>Normal operating condition</t>
        </is>
      </c>
      <c r="C14" s="4" t="n"/>
      <c r="D14" s="4" t="n"/>
    </row>
    <row r="15">
      <c r="A15" s="3" t="inlineStr">
        <is>
          <t>Relay Enabled confirmed</t>
        </is>
      </c>
      <c r="B15" s="6" t="inlineStr">
        <is>
          <t>'Relay Enabled' shown in STA output</t>
        </is>
      </c>
      <c r="C15" s="4" t="n"/>
      <c r="D15" s="4" t="n"/>
    </row>
    <row r="17">
      <c r="A17" s="2" t="inlineStr">
        <is>
          <t>8.3  CLEAR TEST DATA BUFFERS</t>
        </is>
      </c>
    </row>
    <row r="18" ht="30" customHeight="1">
      <c r="A18" s="15" t="inlineStr">
        <is>
          <t>Issue the commands below at Access Level 1 or higher to clear data generated during testing, preventing contamination of operational records.</t>
        </is>
      </c>
    </row>
    <row r="19">
      <c r="A19" s="5" t="inlineStr">
        <is>
          <t>Serial Command</t>
        </is>
      </c>
      <c r="B19" s="5" t="inlineStr">
        <is>
          <t>Action Performed</t>
        </is>
      </c>
      <c r="C19" s="5" t="inlineStr">
        <is>
          <t>Completed</t>
        </is>
      </c>
      <c r="D19" s="5" t="inlineStr">
        <is>
          <t>Notes</t>
        </is>
      </c>
    </row>
    <row r="20">
      <c r="A20" s="13" t="inlineStr">
        <is>
          <t>SUM R &lt;Enter&gt;</t>
        </is>
      </c>
      <c r="B20" s="6" t="inlineStr">
        <is>
          <t>Reset event report and summary command buffers</t>
        </is>
      </c>
      <c r="C20" s="4" t="n"/>
      <c r="D20" s="4" t="n"/>
    </row>
    <row r="21">
      <c r="A21" s="13" t="inlineStr">
        <is>
          <t>SER R &lt;Enter&gt;</t>
        </is>
      </c>
      <c r="B21" s="6" t="inlineStr">
        <is>
          <t>Reset Sequential Events Record buffer</t>
        </is>
      </c>
      <c r="C21" s="4" t="n"/>
      <c r="D21" s="4" t="n"/>
    </row>
    <row r="22">
      <c r="A22" s="13" t="inlineStr">
        <is>
          <t>LDP C &lt;Enter&gt;</t>
        </is>
      </c>
      <c r="B22" s="6" t="inlineStr">
        <is>
          <t>Clear Load Profile Data</t>
        </is>
      </c>
      <c r="C22" s="4" t="n"/>
      <c r="D22" s="4" t="n"/>
    </row>
    <row r="23">
      <c r="A23" s="13" t="inlineStr">
        <is>
          <t>HIS C &lt;Enter&gt;</t>
        </is>
      </c>
      <c r="B23" s="6" t="inlineStr">
        <is>
          <t>Clear event history (if required by procedure)</t>
        </is>
      </c>
      <c r="C23" s="4" t="n"/>
      <c r="D23" s="4" t="n"/>
    </row>
    <row r="25">
      <c r="A25" s="2" t="inlineStr">
        <is>
          <t>8.4  PLANT RESTORATION</t>
        </is>
      </c>
    </row>
    <row r="26">
      <c r="A26" s="5" t="inlineStr">
        <is>
          <t>Check</t>
        </is>
      </c>
      <c r="B26" s="5" t="inlineStr">
        <is>
          <t>Expected / Action</t>
        </is>
      </c>
      <c r="C26" s="5" t="inlineStr">
        <is>
          <t>Result</t>
        </is>
      </c>
      <c r="D26" s="5" t="inlineStr">
        <is>
          <t>Notes</t>
        </is>
      </c>
    </row>
    <row r="27">
      <c r="A27" s="3" t="inlineStr">
        <is>
          <t>Remove test connections from CT / VT terminals</t>
        </is>
      </c>
      <c r="B27" s="6" t="inlineStr">
        <is>
          <t>Field CTs and VTs reconnected</t>
        </is>
      </c>
      <c r="C27" s="4" t="n"/>
      <c r="D27" s="4" t="n"/>
    </row>
    <row r="28">
      <c r="A28" s="3" t="inlineStr">
        <is>
          <t>Restore control voltage wiring</t>
        </is>
      </c>
      <c r="B28" s="6" t="inlineStr">
        <is>
          <t>All control circuits normal</t>
        </is>
      </c>
      <c r="C28" s="4" t="n"/>
      <c r="D28" s="4" t="n"/>
    </row>
    <row r="29">
      <c r="A29" s="3" t="inlineStr">
        <is>
          <t>Remove CT secondary shorting links</t>
        </is>
      </c>
      <c r="B29" s="6" t="inlineStr">
        <is>
          <t>CT circuits not open-circuited</t>
        </is>
      </c>
      <c r="C29" s="4" t="n"/>
      <c r="D29" s="4" t="n"/>
    </row>
    <row r="30">
      <c r="A30" s="3" t="inlineStr">
        <is>
          <t>Verify relay measuring load current — METER command</t>
        </is>
      </c>
      <c r="B30" s="6" t="inlineStr">
        <is>
          <t>Compare to substation panel meters</t>
        </is>
      </c>
      <c r="C30" s="4" t="n"/>
      <c r="D30" s="4" t="n"/>
    </row>
    <row r="31">
      <c r="A31" s="3" t="inlineStr">
        <is>
          <t>METER DIF check — IOP/IRT ≤ 0.10 under load</t>
        </is>
      </c>
      <c r="B31" s="6" t="inlineStr">
        <is>
          <t>Differential balance confirmed on load</t>
        </is>
      </c>
      <c r="C31" s="4" t="n"/>
      <c r="D31" s="4" t="n"/>
    </row>
    <row r="32">
      <c r="A32" s="3" t="inlineStr">
        <is>
          <t>Cancel all outstanding LOTO permits</t>
        </is>
      </c>
      <c r="B32" s="6" t="inlineStr">
        <is>
          <t>All permits cleared</t>
        </is>
      </c>
      <c r="C32" s="4" t="n"/>
      <c r="D32" s="4" t="n"/>
    </row>
    <row r="33">
      <c r="A33" s="3" t="inlineStr">
        <is>
          <t>Notify operations — relay returned to service</t>
        </is>
      </c>
      <c r="B33" s="6" t="inlineStr">
        <is>
          <t>Operations informed and recorded</t>
        </is>
      </c>
      <c r="C33" s="4" t="n"/>
      <c r="D33" s="4" t="n"/>
    </row>
  </sheetData>
  <mergeCells count="6">
    <mergeCell ref="A1:D1"/>
    <mergeCell ref="A17:D17"/>
    <mergeCell ref="A18:D18"/>
    <mergeCell ref="A3:D3"/>
    <mergeCell ref="A25:D25"/>
    <mergeCell ref="A10:D10"/>
  </mergeCells>
  <pageMargins left="0.4" right="0.4" top="0.6" bottom="0.6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16" customWidth="1" min="4" max="4"/>
  </cols>
  <sheetData>
    <row r="1" ht="26" customHeight="1">
      <c r="A1" s="1" t="inlineStr">
        <is>
          <t>FILES INDEX &amp; SIGN-OFF</t>
        </is>
      </c>
    </row>
    <row r="3">
      <c r="A3" s="2" t="inlineStr">
        <is>
          <t>OVERALL TEST RESULT (from Cover sheet)</t>
        </is>
      </c>
    </row>
    <row r="4">
      <c r="A4" s="13" t="inlineStr">
        <is>
          <t>Signed Overall Result</t>
        </is>
      </c>
      <c r="B4" s="25">
        <f>'1. Cover'!B45</f>
        <v/>
      </c>
      <c r="C4" s="11" t="n"/>
      <c r="D4" s="12" t="n"/>
    </row>
    <row r="6">
      <c r="A6" s="2" t="inlineStr">
        <is>
          <t>TEST ARTEFACTS INDEX</t>
        </is>
      </c>
    </row>
    <row r="7">
      <c r="A7" s="5" t="inlineStr">
        <is>
          <t>Artefact</t>
        </is>
      </c>
      <c r="B7" s="5" t="inlineStr">
        <is>
          <t>File Name / SharePoint Location</t>
        </is>
      </c>
      <c r="C7" s="5" t="inlineStr">
        <is>
          <t>Date Saved</t>
        </is>
      </c>
      <c r="D7" s="5" t="inlineStr">
        <is>
          <t>Notes</t>
        </is>
      </c>
    </row>
    <row r="8">
      <c r="A8" s="3" t="inlineStr">
        <is>
          <t>Relay settings file (.sel / QuickSet project)</t>
        </is>
      </c>
      <c r="B8" s="4" t="n"/>
      <c r="C8" s="4" t="n"/>
      <c r="D8" s="4" t="n"/>
    </row>
    <row r="9">
      <c r="A9" s="3" t="inlineStr">
        <is>
          <t>Pre-test event records (HIS, SER, EVE, SUM)</t>
        </is>
      </c>
      <c r="B9" s="4" t="n"/>
      <c r="C9" s="4" t="n"/>
      <c r="D9" s="4" t="n"/>
    </row>
    <row r="10">
      <c r="A10" s="3" t="inlineStr">
        <is>
          <t>Post-test event records</t>
        </is>
      </c>
      <c r="B10" s="4" t="n"/>
      <c r="C10" s="4" t="n"/>
      <c r="D10" s="4" t="n"/>
    </row>
    <row r="11">
      <c r="A11" s="3" t="inlineStr">
        <is>
          <t>Completed results template (this file)</t>
        </is>
      </c>
      <c r="B11" s="4" t="n"/>
      <c r="C11" s="4" t="n"/>
      <c r="D11" s="4" t="n"/>
    </row>
    <row r="12">
      <c r="A12" s="3" t="inlineStr">
        <is>
          <t>Oscillography / disturbance records</t>
        </is>
      </c>
      <c r="B12" s="4" t="n"/>
      <c r="C12" s="4" t="n"/>
      <c r="D12" s="4" t="n"/>
    </row>
    <row r="13">
      <c r="A13" s="3" t="inlineStr">
        <is>
          <t>Test photographs / site notes</t>
        </is>
      </c>
      <c r="B13" s="4" t="n"/>
      <c r="C13" s="4" t="n"/>
      <c r="D13" s="4" t="n"/>
    </row>
    <row r="15">
      <c r="A15" s="2" t="inlineStr">
        <is>
          <t>DEFECTS / FINDINGS LOG</t>
        </is>
      </c>
    </row>
    <row r="16">
      <c r="A16" s="5" t="inlineStr">
        <is>
          <t>#</t>
        </is>
      </c>
      <c r="B16" s="5" t="inlineStr">
        <is>
          <t>Defect Description</t>
        </is>
      </c>
      <c r="C16" s="5" t="inlineStr">
        <is>
          <t>Action Taken / Work Order</t>
        </is>
      </c>
      <c r="D16" s="5" t="inlineStr">
        <is>
          <t>Closed</t>
        </is>
      </c>
    </row>
    <row r="17">
      <c r="A17" s="26" t="n">
        <v>1</v>
      </c>
      <c r="B17" s="4" t="n"/>
      <c r="C17" s="4" t="n"/>
      <c r="D17" s="4" t="n"/>
    </row>
    <row r="18">
      <c r="A18" s="26" t="n">
        <v>2</v>
      </c>
      <c r="B18" s="4" t="n"/>
      <c r="C18" s="4" t="n"/>
      <c r="D18" s="4" t="n"/>
    </row>
    <row r="19">
      <c r="A19" s="26" t="n">
        <v>3</v>
      </c>
      <c r="B19" s="4" t="n"/>
      <c r="C19" s="4" t="n"/>
      <c r="D19" s="4" t="n"/>
    </row>
    <row r="20">
      <c r="A20" s="26" t="n">
        <v>4</v>
      </c>
      <c r="B20" s="4" t="n"/>
      <c r="C20" s="4" t="n"/>
      <c r="D20" s="4" t="n"/>
    </row>
    <row r="21">
      <c r="A21" s="26" t="n">
        <v>5</v>
      </c>
      <c r="B21" s="4" t="n"/>
      <c r="C21" s="4" t="n"/>
      <c r="D21" s="4" t="n"/>
    </row>
    <row r="22">
      <c r="A22" s="26" t="n">
        <v>6</v>
      </c>
      <c r="B22" s="4" t="n"/>
      <c r="C22" s="4" t="n"/>
      <c r="D22" s="4" t="n"/>
    </row>
    <row r="24">
      <c r="A24" s="2" t="inlineStr">
        <is>
          <t>SIGN-OFF</t>
        </is>
      </c>
    </row>
    <row r="25">
      <c r="A25" s="5" t="inlineStr">
        <is>
          <t>Role</t>
        </is>
      </c>
      <c r="B25" s="5" t="inlineStr">
        <is>
          <t>Name (print)</t>
        </is>
      </c>
      <c r="C25" s="5" t="inlineStr">
        <is>
          <t>Signature</t>
        </is>
      </c>
      <c r="D25" s="5" t="inlineStr">
        <is>
          <t>Date</t>
        </is>
      </c>
    </row>
    <row r="26" ht="28" customHeight="1">
      <c r="A26" s="13" t="inlineStr">
        <is>
          <t>Test Engineer</t>
        </is>
      </c>
      <c r="B26" s="4" t="n"/>
      <c r="C26" s="4" t="n"/>
      <c r="D26" s="4" t="n"/>
    </row>
    <row r="27" ht="28" customHeight="1">
      <c r="A27" s="13" t="inlineStr">
        <is>
          <t>Witness (Operations)</t>
        </is>
      </c>
      <c r="B27" s="4" t="n"/>
      <c r="C27" s="4" t="n"/>
      <c r="D27" s="4" t="n"/>
    </row>
    <row r="28" ht="28" customHeight="1">
      <c r="A28" s="13" t="inlineStr">
        <is>
          <t>Approving Engineer</t>
        </is>
      </c>
      <c r="B28" s="4" t="n"/>
      <c r="C28" s="4" t="n"/>
      <c r="D28" s="4" t="n"/>
    </row>
  </sheetData>
  <mergeCells count="6">
    <mergeCell ref="A1:D1"/>
    <mergeCell ref="A6:D6"/>
    <mergeCell ref="A3:D3"/>
    <mergeCell ref="B4:D4"/>
    <mergeCell ref="A15:D15"/>
    <mergeCell ref="A24:D24"/>
  </mergeCells>
  <pageMargins left="0.4" right="0.4" top="0.6" bottom="0.6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2026-06-01T23:01:13Z</dcterms:created>
  <dcterms:modified xmlns:dcterms="http://purl.org/dc/terms/" xmlns:xsi="http://www.w3.org/2001/XMLSchema-instance" xsi:type="dcterms:W3CDTF">2026-06-01T23:01:13Z</dcterms:modified>
</cp:coreProperties>
</file>