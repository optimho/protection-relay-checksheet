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over" sheetId="1" state="visible" r:id="rId3"/>
    <sheet name="2. Equip &amp; Refs" sheetId="2" state="visible" r:id="rId4"/>
    <sheet name="3. Pre-Test" sheetId="3" state="visible" r:id="rId5"/>
    <sheet name="4. Analogue Inputs" sheetId="4" state="visible" r:id="rId6"/>
    <sheet name="5. Binary IO" sheetId="5" state="visible" r:id="rId7"/>
    <sheet name="6. Element Tracker" sheetId="6" state="visible" r:id="rId8"/>
    <sheet name="7. Element Results" sheetId="7" state="visible" r:id="rId9"/>
    <sheet name="8. Post-Test" sheetId="8" state="visible" r:id="rId10"/>
    <sheet name="9. Files &amp; Sign-Off" sheetId="9" state="visible" r:id="rId11"/>
  </sheets>
  <definedNames>
    <definedName function="false" hidden="false" name="Ratio_VTphase" vbProcedure="false">'1. Cover'!$E$42</definedName>
    <definedName function="false" hidden="false" name="Ratio_VTuo" vbProcedure="false">'1. Cover'!$E$43</definedName>
    <definedName function="false" hidden="false" name="TolAngle_deg" vbProcedure="false">'1. Cover'!$C$48</definedName>
    <definedName function="false" hidden="false" name="TolI_pct" vbProcedure="false">'1. Cover'!$C$47</definedName>
    <definedName function="false" hidden="false" name="TolPickup_pct" vbProcedure="false">'1. Cover'!$C$49</definedName>
    <definedName function="false" hidden="false" name="TolTime_pct" vbProcedure="false">'1. Cover'!$C$50</definedName>
    <definedName function="false" hidden="false" name="TolV_pct" vbProcedure="false">'1. Cover'!$C$46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<sst xmlns="http://schemas.openxmlformats.org/spreadsheetml/2006/main" count="383" uniqueCount="271">
  <si>
    <t xml:space="preserve">PROTECTION RELAY TEST RESULTS</t>
  </si>
  <si>
    <t xml:space="preserve">ABB REU615 Voltage Protection Relay — Live Results Template</t>
  </si>
  <si>
    <t xml:space="preserve">Test Summary &amp; Findings (filled in at end of visit)</t>
  </si>
  <si>
    <t xml:space="preserve">Overall outcome</t>
  </si>
  <si>
    <t xml:space="preserve">Test completion date</t>
  </si>
  <si>
    <t xml:space="preserve">Summary &amp; Findings</t>
  </si>
  <si>
    <t xml:space="preserve">Test Information</t>
  </si>
  <si>
    <t xml:space="preserve">Site / Substation</t>
  </si>
  <si>
    <t xml:space="preserve">Asset identifier (feeder / motor / transformer)</t>
  </si>
  <si>
    <t xml:space="preserve">Work order / Job number</t>
  </si>
  <si>
    <t xml:space="preserve">Reason for test</t>
  </si>
  <si>
    <t xml:space="preserve">Routine</t>
  </si>
  <si>
    <t xml:space="preserve">Test date (start)</t>
  </si>
  <si>
    <t xml:space="preserve">Test date (finish)</t>
  </si>
  <si>
    <t xml:space="preserve">Personnel</t>
  </si>
  <si>
    <t xml:space="preserve">Tester (name)</t>
  </si>
  <si>
    <t xml:space="preserve">Tester signature</t>
  </si>
  <si>
    <t xml:space="preserve">Witness / 2nd person</t>
  </si>
  <si>
    <t xml:space="preserve">Witness signature</t>
  </si>
  <si>
    <t xml:space="preserve">Authorising engineer</t>
  </si>
  <si>
    <t xml:space="preserve">Relay Under Test</t>
  </si>
  <si>
    <t xml:space="preserve">Relay model</t>
  </si>
  <si>
    <t xml:space="preserve">REU615</t>
  </si>
  <si>
    <t xml:space="preserve">Relay function</t>
  </si>
  <si>
    <t xml:space="preserve">Voltage Protection (Relion 615 series)</t>
  </si>
  <si>
    <t xml:space="preserve">Relay tag / functional ID</t>
  </si>
  <si>
    <t xml:space="preserve">Order code / part number</t>
  </si>
  <si>
    <t xml:space="preserve">Serial number</t>
  </si>
  <si>
    <t xml:space="preserve">Firmware version</t>
  </si>
  <si>
    <t xml:space="preserve">Panel / cubicle location</t>
  </si>
  <si>
    <t xml:space="preserve">IED name (in PCM600 project)</t>
  </si>
  <si>
    <t xml:space="preserve">Active settings group</t>
  </si>
  <si>
    <t xml:space="preserve">CT / VT Ratios (primary : secondary)  —  drives Expected Primary in analogue tables</t>
  </si>
  <si>
    <t xml:space="preserve">Ratio</t>
  </si>
  <si>
    <t xml:space="preserve">Primary</t>
  </si>
  <si>
    <t xml:space="preserve">Secondary</t>
  </si>
  <si>
    <t xml:space="preserve">Ratio (P/S)</t>
  </si>
  <si>
    <t xml:space="preserve">Unit (V/A)</t>
  </si>
  <si>
    <t xml:space="preserve">Main VT (line-N)</t>
  </si>
  <si>
    <t xml:space="preserve">V or A</t>
  </si>
  <si>
    <t xml:space="preserve">Residual voltage Uo / 3Vo VT</t>
  </si>
  <si>
    <t xml:space="preserve">Test Tolerances (drives auto pass/fail)</t>
  </si>
  <si>
    <t xml:space="preserve">Voltage magnitude tolerance (%)</t>
  </si>
  <si>
    <t xml:space="preserve">Current magnitude tolerance (%)</t>
  </si>
  <si>
    <t xml:space="preserve">Phase angle tolerance (°)</t>
  </si>
  <si>
    <t xml:space="preserve">Element pickup tolerance (%)</t>
  </si>
  <si>
    <t xml:space="preserve">Element timing tolerance (%)</t>
  </si>
  <si>
    <t xml:space="preserve">Auto-rolled-up status (calculated)</t>
  </si>
  <si>
    <t xml:space="preserve">Analogue inputs</t>
  </si>
  <si>
    <t xml:space="preserve">Element tests</t>
  </si>
  <si>
    <t xml:space="preserve">Auto overall</t>
  </si>
  <si>
    <t xml:space="preserve">Test Equipment, Drawings &amp; Reference Documents</t>
  </si>
  <si>
    <t xml:space="preserve">Test Equipment Used</t>
  </si>
  <si>
    <t xml:space="preserve">Three-phase test set</t>
  </si>
  <si>
    <t xml:space="preserve">Omicron CMC</t>
  </si>
  <si>
    <t xml:space="preserve">Laptop / PCM600</t>
  </si>
  <si>
    <t xml:space="preserve">N/A</t>
  </si>
  <si>
    <t xml:space="preserve">Multimeter</t>
  </si>
  <si>
    <t xml:space="preserve">Reference Drawings</t>
  </si>
  <si>
    <t xml:space="preserve">Drawing No.</t>
  </si>
  <si>
    <t xml:space="preserve">Title</t>
  </si>
  <si>
    <t xml:space="preserve">Revision</t>
  </si>
  <si>
    <t xml:space="preserve">Date</t>
  </si>
  <si>
    <t xml:space="preserve">Notes</t>
  </si>
  <si>
    <t xml:space="preserve">Single line diagram</t>
  </si>
  <si>
    <t xml:space="preserve">Schematic — protection AC</t>
  </si>
  <si>
    <t xml:space="preserve">Schematic — protection DC / trip</t>
  </si>
  <si>
    <t xml:space="preserve">Panel general arrangement</t>
  </si>
  <si>
    <t xml:space="preserve">Application configuration drawing (PCM600)</t>
  </si>
  <si>
    <t xml:space="preserve">Test File &amp; Reference Document Locations</t>
  </si>
  <si>
    <t xml:space="preserve">Note: paste the SharePoint URL into each cell. Excel will turn it into a clickable link automatically.</t>
  </si>
  <si>
    <t xml:space="preserve">Omicron test file (.occ filename)</t>
  </si>
  <si>
    <t xml:space="preserve">SharePoint — PCM600 project / settings files (URL)</t>
  </si>
  <si>
    <t xml:space="preserve">https://sharepoint.contactenergy.co.nz/</t>
  </si>
  <si>
    <t xml:space="preserve">SharePoint — Omicron electronic test file (URL)</t>
  </si>
  <si>
    <t xml:space="preserve">SharePoint — Protection Functional Report (URL)</t>
  </si>
  <si>
    <t xml:space="preserve">SharePoint — Other (events, disturbance records, COMTRADE) (URL)</t>
  </si>
  <si>
    <t xml:space="preserve">Pre-Test Checklist</t>
  </si>
  <si>
    <t xml:space="preserve">3.1 Visual Inspection</t>
  </si>
  <si>
    <t xml:space="preserve">#</t>
  </si>
  <si>
    <t xml:space="preserve">Check</t>
  </si>
  <si>
    <t xml:space="preserve">Status</t>
  </si>
  <si>
    <t xml:space="preserve">Notes / Value</t>
  </si>
  <si>
    <t xml:space="preserve">Initials</t>
  </si>
  <si>
    <t xml:space="preserve">Relay mounted securely; no physical damage to fascia or terminals.</t>
  </si>
  <si>
    <t xml:space="preserve">All wiring terminations tight (sample); no signs of overheating.</t>
  </si>
  <si>
    <t xml:space="preserve">Front-panel LCD, LEDs and pushbuttons all functional.</t>
  </si>
  <si>
    <t xml:space="preserve">No active alarms, IRF indication or trip LEDs on arrival.</t>
  </si>
  <si>
    <t xml:space="preserve">Aux supply voltage at relay terminals within tolerance (record in Notes).</t>
  </si>
  <si>
    <t xml:space="preserve">3.2 Connect to Relay &amp; Verify Status (via PCM600)</t>
  </si>
  <si>
    <t xml:space="preserve">Open PCM600; connect to IED via front USB or rear Ethernet (IEC 61850 / FTP).</t>
  </si>
  <si>
    <t xml:space="preserve">IED status reads OK in PCM600 (no IRF, no failures).</t>
  </si>
  <si>
    <t xml:space="preserve">Measurements view in PCM600 shows sane analogue values for current operating state.</t>
  </si>
  <si>
    <t xml:space="preserve">IED type, order code and firmware version recorded on Cover sheet (match plant register).</t>
  </si>
  <si>
    <t xml:space="preserve">Self-supervision details captured (no warnings or service condition issues).</t>
  </si>
  <si>
    <t xml:space="preserve">3.3 Time / Clock Check</t>
  </si>
  <si>
    <t xml:space="preserve">Read IED date/time from PCM600 or HMI; record drift vs. reference (Notes).</t>
  </si>
  <si>
    <t xml:space="preserve">Time sync source identified (IRIG-B, SNTP/NTP, PTP, manual).</t>
  </si>
  <si>
    <t xml:space="preserve">Sync status reports healthy (where applicable).</t>
  </si>
  <si>
    <t xml:space="preserve">3.4 Event Records</t>
  </si>
  <si>
    <t xml:space="preserve">Read event records from IED via PCM600 (Disturbance Recorder).</t>
  </si>
  <si>
    <t xml:space="preserve">Disturbance records exported (COMTRADE) and saved to job folder.</t>
  </si>
  <si>
    <t xml:space="preserve">Reviewed event list for unexpected operations / pickups since last test.</t>
  </si>
  <si>
    <t xml:space="preserve">Cross-referenced anomalies with operations / SCADA / fault log.</t>
  </si>
  <si>
    <t xml:space="preserve">3.5 Sequence of Events (Event recorder)</t>
  </si>
  <si>
    <t xml:space="preserve">Event recorder list reviewed for unexpected element pickups or input bouncing.</t>
  </si>
  <si>
    <t xml:space="preserve">Communications-related events (channel loss, NTP loss, IRF) reviewed.</t>
  </si>
  <si>
    <t xml:space="preserve">3.6 Settings — As-Found</t>
  </si>
  <si>
    <t xml:space="preserve">Read parameter setting from IED via PCM600; save IED-specific .pcmi (or read whole project).</t>
  </si>
  <si>
    <t xml:space="preserve">Save with filename prefix "asfound_&lt;Asset&gt;_&lt;YYYYMMDD&gt;.pcmi".</t>
  </si>
  <si>
    <t xml:space="preserve">Compared as-found vs. approved master parameter setting.</t>
  </si>
  <si>
    <t xml:space="preserve">All differences documented (record compare report file name in Notes).</t>
  </si>
  <si>
    <t xml:space="preserve">Differences are authorised changes only.</t>
  </si>
  <si>
    <t xml:space="preserve">3.7 Settings vs. Protection Functional Description</t>
  </si>
  <si>
    <t xml:space="preserve">Enabled function blocks match functional description.</t>
  </si>
  <si>
    <t xml:space="preserve">Key element settings (pickup, time delay, characteristic) match document.</t>
  </si>
  <si>
    <t xml:space="preserve">CT and VT ratios in IED match nameplate / SLD and Cover sheet.</t>
  </si>
  <si>
    <t xml:space="preserve">Application configuration (trip matrix / logic) matches functional description.</t>
  </si>
  <si>
    <t xml:space="preserve">Binary input / output mapping matches functional description.</t>
  </si>
  <si>
    <t xml:space="preserve">Analogue Input Verification — PRIMARY values</t>
  </si>
  <si>
    <t xml:space="preserve">Inject secondary; IED reports primary internally using configured ratios on Cover. Expected Primary, error % and pass/fail are calculated automatically. Magnitude tolerance: TolV_pct/TolI_pct, angle tolerance: TolAngle_deg.</t>
  </si>
  <si>
    <t xml:space="preserve">If Expected Primary shows blank, check the corresponding CT/VT ratio is filled in on the Cover sheet.</t>
  </si>
  <si>
    <t xml:space="preserve">4.1 Phase VT Inputs — Three-Phase Voltage Injection (Primary verification)</t>
  </si>
  <si>
    <t xml:space="preserve">Step</t>
  </si>
  <si>
    <t xml:space="preserve">Injected (V sec)</t>
  </si>
  <si>
    <t xml:space="preserve">Inj Angle (°)</t>
  </si>
  <si>
    <t xml:space="preserve">Phase / Input</t>
  </si>
  <si>
    <t xml:space="preserve">Expected Primary (V or kV)</t>
  </si>
  <si>
    <t xml:space="preserve">Relay Primary</t>
  </si>
  <si>
    <t xml:space="preserve">Relay Angle (°)</t>
  </si>
  <si>
    <t xml:space="preserve">Mag Err (%)</t>
  </si>
  <si>
    <t xml:space="preserve">Angle Err (°)</t>
  </si>
  <si>
    <t xml:space="preserve">P / F</t>
  </si>
  <si>
    <t xml:space="preserve">L1 (Ua)</t>
  </si>
  <si>
    <t xml:space="preserve">L2 (Ub)</t>
  </si>
  <si>
    <t xml:space="preserve">L3 (Uc)</t>
  </si>
  <si>
    <t xml:space="preserve">4.2 Residual Voltage Input — Uo / 3Vo (Primary verification)</t>
  </si>
  <si>
    <t xml:space="preserve">Uo</t>
  </si>
  <si>
    <t xml:space="preserve">Binary Input / Output Functional Tests</t>
  </si>
  <si>
    <t xml:space="preserve">5.1 Binary Inputs (BI)</t>
  </si>
  <si>
    <t xml:space="preserve">Apply rated voltage to each binary input (or operate the source field device) and confirm the input asserts in PCM600 (Function blocks / Event recorder).</t>
  </si>
  <si>
    <t xml:space="preserve">BI Channel</t>
  </si>
  <si>
    <t xml:space="preserve">Description / Source</t>
  </si>
  <si>
    <t xml:space="preserve">Pickup V (V)</t>
  </si>
  <si>
    <t xml:space="preserve">Asserted? (Y/N)</t>
  </si>
  <si>
    <t xml:space="preserve">Event captured? (Y/N)</t>
  </si>
  <si>
    <t xml:space="preserve">BI1</t>
  </si>
  <si>
    <t xml:space="preserve">Trip from external</t>
  </si>
  <si>
    <t xml:space="preserve">BI2</t>
  </si>
  <si>
    <t xml:space="preserve">Local/Remote selector</t>
  </si>
  <si>
    <t xml:space="preserve">BI3</t>
  </si>
  <si>
    <t xml:space="preserve">Reset external</t>
  </si>
  <si>
    <t xml:space="preserve">BI4</t>
  </si>
  <si>
    <t xml:space="preserve">Block voltage protection</t>
  </si>
  <si>
    <t xml:space="preserve">BI5</t>
  </si>
  <si>
    <t xml:space="preserve">BI6</t>
  </si>
  <si>
    <t xml:space="preserve">BI7</t>
  </si>
  <si>
    <t xml:space="preserve">BI8</t>
  </si>
  <si>
    <t xml:space="preserve">5.2 Binary Outputs (BO)</t>
  </si>
  <si>
    <t xml:space="preserve">Force each output contact via PCM600 Test menu (output control / forcing) or by asserting the function block that drives it. Verify continuity at the relay terminals AND at the destination.</t>
  </si>
  <si>
    <t xml:space="preserve">BO Channel</t>
  </si>
  <si>
    <t xml:space="preserve">Driven by / Function</t>
  </si>
  <si>
    <t xml:space="preserve">Force method</t>
  </si>
  <si>
    <t xml:space="preserve">Continuity (Y/N)</t>
  </si>
  <si>
    <t xml:space="preserve">Operates target (Y/N)</t>
  </si>
  <si>
    <t xml:space="preserve">PO1</t>
  </si>
  <si>
    <t xml:space="preserve">Trip (UFLS / UVLS contactor)</t>
  </si>
  <si>
    <t xml:space="preserve">PCM600 Force</t>
  </si>
  <si>
    <t xml:space="preserve">PO2</t>
  </si>
  <si>
    <t xml:space="preserve">Alarm</t>
  </si>
  <si>
    <t xml:space="preserve">SO1</t>
  </si>
  <si>
    <t xml:space="preserve">Stage 2 trip</t>
  </si>
  <si>
    <t xml:space="preserve">SO2</t>
  </si>
  <si>
    <t xml:space="preserve">SO3</t>
  </si>
  <si>
    <t xml:space="preserve">SO4</t>
  </si>
  <si>
    <t xml:space="preserve">Protection Element Tracker</t>
  </si>
  <si>
    <t xml:space="preserve">Identify enabled functions, when each was last tested, and which to test this visit. Rotate elements between visits.</t>
  </si>
  <si>
    <t xml:space="preserve">ANSI</t>
  </si>
  <si>
    <t xml:space="preserve">ABB function block</t>
  </si>
  <si>
    <t xml:space="preserve">Function description</t>
  </si>
  <si>
    <t xml:space="preserve">Enabled? (Y/N)</t>
  </si>
  <si>
    <t xml:space="preserve">Last tested (date)</t>
  </si>
  <si>
    <t xml:space="preserve">Test this visit? (Y/N)</t>
  </si>
  <si>
    <t xml:space="preserve">Result</t>
  </si>
  <si>
    <t xml:space="preserve">27</t>
  </si>
  <si>
    <t xml:space="preserve">PHPTUV1</t>
  </si>
  <si>
    <t xml:space="preserve">Undervoltage (3-phase)</t>
  </si>
  <si>
    <t xml:space="preserve">59</t>
  </si>
  <si>
    <t xml:space="preserve">PHPTOV1</t>
  </si>
  <si>
    <t xml:space="preserve">Overvoltage (3-phase)</t>
  </si>
  <si>
    <t xml:space="preserve">59N</t>
  </si>
  <si>
    <t xml:space="preserve">ROVPTOV1</t>
  </si>
  <si>
    <t xml:space="preserve">Residual overvoltage (3Vo / Uo)</t>
  </si>
  <si>
    <t xml:space="preserve">27R</t>
  </si>
  <si>
    <t xml:space="preserve">PSPTUV1</t>
  </si>
  <si>
    <t xml:space="preserve">Reverse-phase / phase reversal (negative-seq voltage)</t>
  </si>
  <si>
    <t xml:space="preserve">47</t>
  </si>
  <si>
    <t xml:space="preserve">Phase-sequence voltage</t>
  </si>
  <si>
    <t xml:space="preserve">27P</t>
  </si>
  <si>
    <t xml:space="preserve">Positive-sequence undervoltage</t>
  </si>
  <si>
    <t xml:space="preserve">59P</t>
  </si>
  <si>
    <t xml:space="preserve">PSPTOV1</t>
  </si>
  <si>
    <t xml:space="preserve">Positive-sequence overvoltage</t>
  </si>
  <si>
    <t xml:space="preserve">81 O</t>
  </si>
  <si>
    <t xml:space="preserve">FRPFRQ1</t>
  </si>
  <si>
    <t xml:space="preserve">Over-frequency</t>
  </si>
  <si>
    <t xml:space="preserve">81 U</t>
  </si>
  <si>
    <t xml:space="preserve">Under-frequency</t>
  </si>
  <si>
    <t xml:space="preserve">81 R</t>
  </si>
  <si>
    <t xml:space="preserve">Rate-of-change of frequency (df/dt)</t>
  </si>
  <si>
    <t xml:space="preserve">24</t>
  </si>
  <si>
    <t xml:space="preserve">OEPVPH1</t>
  </si>
  <si>
    <t xml:space="preserve">Volts per Hertz (overexcitation)</t>
  </si>
  <si>
    <t xml:space="preserve">60</t>
  </si>
  <si>
    <t xml:space="preserve">SEQRFUF1</t>
  </si>
  <si>
    <t xml:space="preserve">VT supervision / fuse failure</t>
  </si>
  <si>
    <t xml:space="preserve">78</t>
  </si>
  <si>
    <t xml:space="preserve">OOSPVPH1</t>
  </si>
  <si>
    <t xml:space="preserve">Out-of-step / vector shift (if fitted)</t>
  </si>
  <si>
    <t xml:space="preserve">Per-Element Test Results</t>
  </si>
  <si>
    <t xml:space="preserve">Record one row per element tested this visit. Pickup and timing errors and pass/fail are calculated automatically.</t>
  </si>
  <si>
    <t xml:space="preserve">Function</t>
  </si>
  <si>
    <t xml:space="preserve">Setting tested</t>
  </si>
  <si>
    <t xml:space="preserve">Pickup setting</t>
  </si>
  <si>
    <t xml:space="preserve">Pickup measured</t>
  </si>
  <si>
    <t xml:space="preserve">Pickup err %</t>
  </si>
  <si>
    <t xml:space="preserve">Time setting (s)</t>
  </si>
  <si>
    <t xml:space="preserve">Time measured (s)</t>
  </si>
  <si>
    <t xml:space="preserve">Time err %</t>
  </si>
  <si>
    <t xml:space="preserve">Post-Test Checklist</t>
  </si>
  <si>
    <t xml:space="preserve">8.1 Settings re-comparison (as-left vs. master)</t>
  </si>
  <si>
    <t xml:space="preserve">Read parameter setting from IED via PCM600; save with prefix "asleft_&lt;Asset&gt;_&lt;YYYYMMDD&gt;.pcmi".</t>
  </si>
  <si>
    <t xml:space="preserve">Compared as-left vs. approved master parameter setting.</t>
  </si>
  <si>
    <t xml:space="preserve">Zero unauthorised differences remain.</t>
  </si>
  <si>
    <t xml:space="preserve">Any temporarily disabled function blocks have been re-enabled.</t>
  </si>
  <si>
    <t xml:space="preserve">Re-enable load-shedding scheme outputs if they were blocked.</t>
  </si>
  <si>
    <t xml:space="preserve">8.2 Clear events / reset records</t>
  </si>
  <si>
    <t xml:space="preserve">Cleared event recorder.</t>
  </si>
  <si>
    <t xml:space="preserve">Cleared disturbance records (if appropriate / per Contact procedure).</t>
  </si>
  <si>
    <t xml:space="preserve">Reset LED indication on front panel.</t>
  </si>
  <si>
    <t xml:space="preserve">Cleared trip indications.</t>
  </si>
  <si>
    <t xml:space="preserve">8.3 Time synchronisation</t>
  </si>
  <si>
    <t xml:space="preserve">Re-read IED date/time.</t>
  </si>
  <si>
    <t xml:space="preserve">If drift outside tolerance, set IED time to reference.</t>
  </si>
  <si>
    <t xml:space="preserve">Time sync (IRIG-B / NTP / PTP) reports healthy.</t>
  </si>
  <si>
    <t xml:space="preserve">Final drift within tolerance.</t>
  </si>
  <si>
    <t xml:space="preserve">8.4 Plant restoration</t>
  </si>
  <si>
    <t xml:space="preserve">Disconnected all test leads from relay terminals.</t>
  </si>
  <si>
    <t xml:space="preserve">Replaced all test block links / reinstated VT MCBs.</t>
  </si>
  <si>
    <t xml:space="preserve">Removed CT shorting links; verified CT secondary continuity to source.</t>
  </si>
  <si>
    <t xml:space="preserve">Restored trip and lockout output links / re-enabled trips.</t>
  </si>
  <si>
    <t xml:space="preserve">Verified no targets / alarms / IRF active on IED.</t>
  </si>
  <si>
    <t xml:space="preserve">Confirm SCADA / DCS analogue values match IED metering live.</t>
  </si>
  <si>
    <t xml:space="preserve">Re-energised VTs; sensible secondary voltages on IED metering view.</t>
  </si>
  <si>
    <t xml:space="preserve">Operations / control room notified work complete.</t>
  </si>
  <si>
    <t xml:space="preserve">Permit returned and isolations removed (LOTO removed).</t>
  </si>
  <si>
    <t xml:space="preserve">8.5 Final self-test</t>
  </si>
  <si>
    <t xml:space="preserve">Self-supervision in PCM600 reports OK with no IRF or warnings.</t>
  </si>
  <si>
    <t xml:space="preserve">IED in service / ENABLED state per plant requirements.</t>
  </si>
  <si>
    <t xml:space="preserve">Final screenshots captured (Self-supervision / Measurements / IED status).</t>
  </si>
  <si>
    <t xml:space="preserve">Findings Log &amp; Sign-Off</t>
  </si>
  <si>
    <t xml:space="preserve">Findings, Defects &amp; Recommendations (detailed log)</t>
  </si>
  <si>
    <t xml:space="preserve">Finding / Defect</t>
  </si>
  <si>
    <t xml:space="preserve">Severity</t>
  </si>
  <si>
    <t xml:space="preserve">Closed?</t>
  </si>
  <si>
    <t xml:space="preserve">Sign-Off</t>
  </si>
  <si>
    <t xml:space="preserve">Tester name</t>
  </si>
  <si>
    <t xml:space="preserve">Witness name</t>
  </si>
  <si>
    <t xml:space="preserve">Authorising engineer (acceptance)</t>
  </si>
  <si>
    <t xml:space="preserve">Signature</t>
  </si>
  <si>
    <t xml:space="preserve">Overall test result (from Cover sheet)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</si>
</sst>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"/>
    <numFmt numFmtId="167" formatCode="0.0"/>
    <numFmt numFmtId="168" formatCode="0.000"/>
    <numFmt numFmtId="169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sz val="1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1904760</xdr:colOff>
      <xdr:row>0</xdr:row>
      <xdr:rowOff>694800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1120" y="0"/>
          <a:ext cx="1904760" cy="69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harepoint.contactenergy.co.nz/" TargetMode="External"/><Relationship Id="rId2" Type="http://schemas.openxmlformats.org/officeDocument/2006/relationships/hyperlink" Target="https://sharepoint.contactenergy.co.nz/" TargetMode="External"/><Relationship Id="rId3" Type="http://schemas.openxmlformats.org/officeDocument/2006/relationships/hyperlink" Target="https://sharepoint.contactenergy.co.nz/" TargetMode="External"/><Relationship Id="rId4" Type="http://schemas.openxmlformats.org/officeDocument/2006/relationships/hyperlink" Target="https://sharepoint.contactenergy.co.nz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7" min="3" style="0" width="22"/>
  </cols>
  <sheetData>
    <row r="1" customFormat="false" ht="55.5" hidden="false" customHeight="true" outlineLevel="0" collapsed="false"/>
    <row r="2" customFormat="false" ht="22.05" hidden="false" customHeight="false" outlineLevel="0" collapsed="false">
      <c r="D2" s="1" t="s">
        <v>0</v>
      </c>
      <c r="E2" s="1"/>
      <c r="F2" s="1"/>
      <c r="G2" s="1"/>
    </row>
    <row r="3" customFormat="false" ht="15" hidden="false" customHeight="false" outlineLevel="0" collapsed="false">
      <c r="D3" s="2" t="s">
        <v>1</v>
      </c>
      <c r="E3" s="2"/>
      <c r="F3" s="2"/>
      <c r="G3" s="2"/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24" hidden="false" customHeight="true" outlineLevel="0" collapsed="false">
      <c r="B5" s="4" t="s">
        <v>3</v>
      </c>
      <c r="C5" s="5"/>
      <c r="D5" s="5"/>
      <c r="E5" s="5"/>
      <c r="F5" s="5"/>
      <c r="G5" s="5"/>
    </row>
    <row r="6" customFormat="false" ht="19.5" hidden="false" customHeight="true" outlineLevel="0" collapsed="false">
      <c r="B6" s="4" t="s">
        <v>4</v>
      </c>
      <c r="C6" s="6"/>
      <c r="D6" s="6"/>
      <c r="E6" s="6"/>
      <c r="F6" s="6"/>
      <c r="G6" s="6"/>
    </row>
    <row r="7" customFormat="false" ht="18" hidden="false" customHeight="true" outlineLevel="0" collapsed="false">
      <c r="B7" s="7" t="s">
        <v>5</v>
      </c>
      <c r="C7" s="8"/>
      <c r="D7" s="8"/>
      <c r="E7" s="8"/>
      <c r="F7" s="8"/>
      <c r="G7" s="8"/>
    </row>
    <row r="8" customFormat="false" ht="18" hidden="false" customHeight="true" outlineLevel="0" collapsed="false">
      <c r="B8" s="7"/>
      <c r="C8" s="8"/>
      <c r="D8" s="8"/>
      <c r="E8" s="8"/>
      <c r="F8" s="8"/>
      <c r="G8" s="8"/>
    </row>
    <row r="9" customFormat="false" ht="18" hidden="false" customHeight="true" outlineLevel="0" collapsed="false">
      <c r="B9" s="7"/>
      <c r="C9" s="8"/>
      <c r="D9" s="8"/>
      <c r="E9" s="8"/>
      <c r="F9" s="8"/>
      <c r="G9" s="8"/>
    </row>
    <row r="10" customFormat="false" ht="18" hidden="false" customHeight="true" outlineLevel="0" collapsed="false">
      <c r="B10" s="7"/>
      <c r="C10" s="8"/>
      <c r="D10" s="8"/>
      <c r="E10" s="8"/>
      <c r="F10" s="8"/>
      <c r="G10" s="8"/>
    </row>
    <row r="11" customFormat="false" ht="18" hidden="false" customHeight="true" outlineLevel="0" collapsed="false">
      <c r="B11" s="7"/>
      <c r="C11" s="8"/>
      <c r="D11" s="8"/>
      <c r="E11" s="8"/>
      <c r="F11" s="8"/>
      <c r="G11" s="8"/>
    </row>
    <row r="12" customFormat="false" ht="18" hidden="false" customHeight="true" outlineLevel="0" collapsed="false">
      <c r="B12" s="7"/>
      <c r="C12" s="8"/>
      <c r="D12" s="8"/>
      <c r="E12" s="8"/>
      <c r="F12" s="8"/>
      <c r="G12" s="8"/>
    </row>
    <row r="14" customFormat="false" ht="21.75" hidden="false" customHeight="true" outlineLevel="0" collapsed="false">
      <c r="B14" s="3" t="s">
        <v>6</v>
      </c>
      <c r="C14" s="3"/>
      <c r="D14" s="3"/>
      <c r="E14" s="3"/>
      <c r="F14" s="3"/>
      <c r="G14" s="3"/>
    </row>
    <row r="15" customFormat="false" ht="19.5" hidden="false" customHeight="true" outlineLevel="0" collapsed="false">
      <c r="B15" s="4" t="s">
        <v>7</v>
      </c>
      <c r="C15" s="9"/>
      <c r="D15" s="9"/>
      <c r="E15" s="9"/>
      <c r="F15" s="9"/>
      <c r="G15" s="9"/>
    </row>
    <row r="16" customFormat="false" ht="19.5" hidden="false" customHeight="true" outlineLevel="0" collapsed="false">
      <c r="B16" s="4" t="s">
        <v>8</v>
      </c>
      <c r="C16" s="9"/>
      <c r="D16" s="9"/>
      <c r="E16" s="9"/>
      <c r="F16" s="9"/>
      <c r="G16" s="9"/>
    </row>
    <row r="17" customFormat="false" ht="19.5" hidden="false" customHeight="true" outlineLevel="0" collapsed="false">
      <c r="B17" s="4" t="s">
        <v>9</v>
      </c>
      <c r="C17" s="9"/>
      <c r="D17" s="9"/>
      <c r="E17" s="9"/>
      <c r="F17" s="9"/>
      <c r="G17" s="9"/>
    </row>
    <row r="18" customFormat="false" ht="19.5" hidden="false" customHeight="true" outlineLevel="0" collapsed="false">
      <c r="B18" s="4" t="s">
        <v>10</v>
      </c>
      <c r="C18" s="9" t="s">
        <v>11</v>
      </c>
      <c r="D18" s="9"/>
      <c r="E18" s="9"/>
      <c r="F18" s="9"/>
      <c r="G18" s="9"/>
    </row>
    <row r="19" customFormat="false" ht="19.5" hidden="false" customHeight="true" outlineLevel="0" collapsed="false">
      <c r="B19" s="4" t="s">
        <v>12</v>
      </c>
      <c r="C19" s="9"/>
      <c r="D19" s="9"/>
      <c r="E19" s="9"/>
      <c r="F19" s="9"/>
      <c r="G19" s="9"/>
    </row>
    <row r="20" customFormat="false" ht="19.5" hidden="false" customHeight="true" outlineLevel="0" collapsed="false">
      <c r="B20" s="4" t="s">
        <v>13</v>
      </c>
      <c r="C20" s="9"/>
      <c r="D20" s="9"/>
      <c r="E20" s="9"/>
      <c r="F20" s="9"/>
      <c r="G20" s="9"/>
    </row>
    <row r="22" customFormat="false" ht="21.75" hidden="false" customHeight="true" outlineLevel="0" collapsed="false">
      <c r="B22" s="3" t="s">
        <v>14</v>
      </c>
      <c r="C22" s="3"/>
      <c r="D22" s="3"/>
      <c r="E22" s="3"/>
      <c r="F22" s="3"/>
      <c r="G22" s="3"/>
    </row>
    <row r="23" customFormat="false" ht="19.5" hidden="false" customHeight="true" outlineLevel="0" collapsed="false">
      <c r="B23" s="4" t="s">
        <v>15</v>
      </c>
      <c r="C23" s="9"/>
      <c r="D23" s="9"/>
      <c r="E23" s="9"/>
      <c r="F23" s="9"/>
      <c r="G23" s="9"/>
    </row>
    <row r="24" customFormat="false" ht="19.5" hidden="false" customHeight="true" outlineLevel="0" collapsed="false">
      <c r="B24" s="4" t="s">
        <v>16</v>
      </c>
      <c r="C24" s="9"/>
      <c r="D24" s="9"/>
      <c r="E24" s="9"/>
      <c r="F24" s="9"/>
      <c r="G24" s="9"/>
    </row>
    <row r="25" customFormat="false" ht="19.5" hidden="false" customHeight="true" outlineLevel="0" collapsed="false">
      <c r="B25" s="4" t="s">
        <v>17</v>
      </c>
      <c r="C25" s="9"/>
      <c r="D25" s="9"/>
      <c r="E25" s="9"/>
      <c r="F25" s="9"/>
      <c r="G25" s="9"/>
    </row>
    <row r="26" customFormat="false" ht="19.5" hidden="false" customHeight="true" outlineLevel="0" collapsed="false">
      <c r="B26" s="4" t="s">
        <v>18</v>
      </c>
      <c r="C26" s="9"/>
      <c r="D26" s="9"/>
      <c r="E26" s="9"/>
      <c r="F26" s="9"/>
      <c r="G26" s="9"/>
    </row>
    <row r="27" customFormat="false" ht="19.5" hidden="false" customHeight="true" outlineLevel="0" collapsed="false">
      <c r="B27" s="4" t="s">
        <v>19</v>
      </c>
      <c r="C27" s="9"/>
      <c r="D27" s="9"/>
      <c r="E27" s="9"/>
      <c r="F27" s="9"/>
      <c r="G27" s="9"/>
    </row>
    <row r="29" customFormat="false" ht="21.75" hidden="false" customHeight="true" outlineLevel="0" collapsed="false">
      <c r="B29" s="3" t="s">
        <v>20</v>
      </c>
      <c r="C29" s="3"/>
      <c r="D29" s="3"/>
      <c r="E29" s="3"/>
      <c r="F29" s="3"/>
      <c r="G29" s="3"/>
    </row>
    <row r="30" customFormat="false" ht="19.5" hidden="false" customHeight="true" outlineLevel="0" collapsed="false">
      <c r="B30" s="4" t="s">
        <v>21</v>
      </c>
      <c r="C30" s="9" t="s">
        <v>22</v>
      </c>
      <c r="D30" s="9"/>
      <c r="E30" s="9"/>
      <c r="F30" s="9"/>
      <c r="G30" s="9"/>
    </row>
    <row r="31" customFormat="false" ht="19.5" hidden="false" customHeight="true" outlineLevel="0" collapsed="false">
      <c r="B31" s="4" t="s">
        <v>23</v>
      </c>
      <c r="C31" s="9" t="s">
        <v>24</v>
      </c>
      <c r="D31" s="9"/>
      <c r="E31" s="9"/>
      <c r="F31" s="9"/>
      <c r="G31" s="9"/>
    </row>
    <row r="32" customFormat="false" ht="19.5" hidden="false" customHeight="true" outlineLevel="0" collapsed="false">
      <c r="B32" s="4" t="s">
        <v>25</v>
      </c>
      <c r="C32" s="9"/>
      <c r="D32" s="9"/>
      <c r="E32" s="9"/>
      <c r="F32" s="9"/>
      <c r="G32" s="9"/>
    </row>
    <row r="33" customFormat="false" ht="19.5" hidden="false" customHeight="true" outlineLevel="0" collapsed="false">
      <c r="B33" s="4" t="s">
        <v>26</v>
      </c>
      <c r="C33" s="9"/>
      <c r="D33" s="9"/>
      <c r="E33" s="9"/>
      <c r="F33" s="9"/>
      <c r="G33" s="9"/>
    </row>
    <row r="34" customFormat="false" ht="19.5" hidden="false" customHeight="true" outlineLevel="0" collapsed="false">
      <c r="B34" s="4" t="s">
        <v>27</v>
      </c>
      <c r="C34" s="9"/>
      <c r="D34" s="9"/>
      <c r="E34" s="9"/>
      <c r="F34" s="9"/>
      <c r="G34" s="9"/>
    </row>
    <row r="35" customFormat="false" ht="19.5" hidden="false" customHeight="true" outlineLevel="0" collapsed="false">
      <c r="B35" s="4" t="s">
        <v>28</v>
      </c>
      <c r="C35" s="9"/>
      <c r="D35" s="9"/>
      <c r="E35" s="9"/>
      <c r="F35" s="9"/>
      <c r="G35" s="9"/>
    </row>
    <row r="36" customFormat="false" ht="19.5" hidden="false" customHeight="true" outlineLevel="0" collapsed="false">
      <c r="B36" s="4" t="s">
        <v>29</v>
      </c>
      <c r="C36" s="9"/>
      <c r="D36" s="9"/>
      <c r="E36" s="9"/>
      <c r="F36" s="9"/>
      <c r="G36" s="9"/>
    </row>
    <row r="37" customFormat="false" ht="19.5" hidden="false" customHeight="true" outlineLevel="0" collapsed="false">
      <c r="B37" s="4" t="s">
        <v>30</v>
      </c>
      <c r="C37" s="9"/>
      <c r="D37" s="9"/>
      <c r="E37" s="9"/>
      <c r="F37" s="9"/>
      <c r="G37" s="9"/>
    </row>
    <row r="38" customFormat="false" ht="19.5" hidden="false" customHeight="true" outlineLevel="0" collapsed="false">
      <c r="B38" s="4" t="s">
        <v>31</v>
      </c>
      <c r="C38" s="9"/>
      <c r="D38" s="9"/>
      <c r="E38" s="9"/>
      <c r="F38" s="9"/>
      <c r="G38" s="9"/>
    </row>
    <row r="40" customFormat="false" ht="21.75" hidden="false" customHeight="true" outlineLevel="0" collapsed="false">
      <c r="B40" s="3" t="s">
        <v>32</v>
      </c>
      <c r="C40" s="3"/>
      <c r="D40" s="3"/>
      <c r="E40" s="3"/>
      <c r="F40" s="3"/>
      <c r="G40" s="3"/>
    </row>
    <row r="41" customFormat="false" ht="21.75" hidden="false" customHeight="true" outlineLevel="0" collapsed="false">
      <c r="B41" s="10" t="s">
        <v>33</v>
      </c>
      <c r="C41" s="10" t="s">
        <v>34</v>
      </c>
      <c r="D41" s="10" t="s">
        <v>35</v>
      </c>
      <c r="E41" s="10" t="s">
        <v>36</v>
      </c>
      <c r="F41" s="10" t="s">
        <v>37</v>
      </c>
      <c r="G41" s="10"/>
    </row>
    <row r="42" customFormat="false" ht="19.5" hidden="false" customHeight="true" outlineLevel="0" collapsed="false">
      <c r="B42" s="4" t="s">
        <v>38</v>
      </c>
      <c r="C42" s="11" t="n">
        <v>11000</v>
      </c>
      <c r="D42" s="12" t="n">
        <v>63.5</v>
      </c>
      <c r="E42" s="13" t="n">
        <f aca="false">IFERROR(C42/D42,"")</f>
        <v>173.228346456693</v>
      </c>
      <c r="F42" s="9" t="s">
        <v>39</v>
      </c>
      <c r="G42" s="9"/>
    </row>
    <row r="43" customFormat="false" ht="19.5" hidden="false" customHeight="true" outlineLevel="0" collapsed="false">
      <c r="B43" s="4" t="s">
        <v>40</v>
      </c>
      <c r="C43" s="11" t="n">
        <v>11000</v>
      </c>
      <c r="D43" s="12" t="n">
        <v>110</v>
      </c>
      <c r="E43" s="13" t="n">
        <f aca="false">IFERROR(C43/D43,"")</f>
        <v>100</v>
      </c>
      <c r="F43" s="9" t="s">
        <v>39</v>
      </c>
      <c r="G43" s="9"/>
    </row>
    <row r="45" customFormat="false" ht="21.75" hidden="false" customHeight="true" outlineLevel="0" collapsed="false">
      <c r="B45" s="3" t="s">
        <v>41</v>
      </c>
      <c r="C45" s="3"/>
      <c r="D45" s="3"/>
      <c r="E45" s="3"/>
      <c r="F45" s="3"/>
      <c r="G45" s="3"/>
    </row>
    <row r="46" customFormat="false" ht="19.5" hidden="false" customHeight="true" outlineLevel="0" collapsed="false">
      <c r="B46" s="4" t="s">
        <v>42</v>
      </c>
      <c r="C46" s="14" t="n">
        <v>1</v>
      </c>
      <c r="D46" s="15"/>
      <c r="E46" s="15"/>
      <c r="F46" s="15"/>
      <c r="G46" s="15"/>
    </row>
    <row r="47" customFormat="false" ht="19.5" hidden="false" customHeight="true" outlineLevel="0" collapsed="false">
      <c r="B47" s="4" t="s">
        <v>43</v>
      </c>
      <c r="C47" s="14" t="n">
        <v>1</v>
      </c>
      <c r="D47" s="15"/>
      <c r="E47" s="15"/>
      <c r="F47" s="15"/>
      <c r="G47" s="15"/>
    </row>
    <row r="48" customFormat="false" ht="19.5" hidden="false" customHeight="true" outlineLevel="0" collapsed="false">
      <c r="B48" s="4" t="s">
        <v>44</v>
      </c>
      <c r="C48" s="14" t="n">
        <v>1</v>
      </c>
      <c r="D48" s="15"/>
      <c r="E48" s="15"/>
      <c r="F48" s="15"/>
      <c r="G48" s="15"/>
    </row>
    <row r="49" customFormat="false" ht="19.5" hidden="false" customHeight="true" outlineLevel="0" collapsed="false">
      <c r="B49" s="4" t="s">
        <v>45</v>
      </c>
      <c r="C49" s="14" t="n">
        <v>5</v>
      </c>
      <c r="D49" s="15"/>
      <c r="E49" s="15"/>
      <c r="F49" s="15"/>
      <c r="G49" s="15"/>
    </row>
    <row r="50" customFormat="false" ht="19.5" hidden="false" customHeight="true" outlineLevel="0" collapsed="false">
      <c r="B50" s="4" t="s">
        <v>46</v>
      </c>
      <c r="C50" s="14" t="n">
        <v>5</v>
      </c>
      <c r="D50" s="15"/>
      <c r="E50" s="15"/>
      <c r="F50" s="15"/>
      <c r="G50" s="15"/>
    </row>
    <row r="52" customFormat="false" ht="21.75" hidden="false" customHeight="true" outlineLevel="0" collapsed="false">
      <c r="B52" s="3" t="s">
        <v>47</v>
      </c>
      <c r="C52" s="3"/>
      <c r="D52" s="3"/>
      <c r="E52" s="3"/>
      <c r="F52" s="3"/>
      <c r="G52" s="3"/>
    </row>
    <row r="53" customFormat="false" ht="15" hidden="false" customHeight="false" outlineLevel="0" collapsed="false">
      <c r="B53" s="4" t="s">
        <v>48</v>
      </c>
      <c r="C53" s="16" t="str">
        <f aca="false">IF(COUNTIF('4. Analogue Inputs'!$K$1:$K$300,"FAIL")&gt;0,"FAIL",IF(COUNTIF('4. Analogue Inputs'!$K$1:$K$300,"PASS")&gt;0,"PASS",""))</f>
        <v/>
      </c>
      <c r="D53" s="16"/>
      <c r="E53" s="16"/>
      <c r="F53" s="16"/>
      <c r="G53" s="16"/>
    </row>
    <row r="54" customFormat="false" ht="15" hidden="false" customHeight="false" outlineLevel="0" collapsed="false">
      <c r="B54" s="4" t="s">
        <v>49</v>
      </c>
      <c r="C54" s="16" t="str">
        <f aca="false">IF(COUNTIF('7. Element Results'!$L$1:$L$300,"FAIL")&gt;0,"FAIL",IF(COUNTIF('7. Element Results'!$L$1:$L$300,"PASS")&gt;0,"PASS",""))</f>
        <v/>
      </c>
      <c r="D54" s="16"/>
      <c r="E54" s="16"/>
      <c r="F54" s="16"/>
      <c r="G54" s="16"/>
    </row>
    <row r="55" customFormat="false" ht="15" hidden="false" customHeight="false" outlineLevel="0" collapsed="false">
      <c r="B55" s="4" t="s">
        <v>50</v>
      </c>
      <c r="C55" s="16" t="str">
        <f aca="false">IF(OR(C53="FAIL",C54="FAIL"),"FAIL",IF(AND(C53="PASS",C54="PASS"),"PASS","INCOMPLETE"))</f>
        <v>INCOMPLETE</v>
      </c>
      <c r="D55" s="16"/>
      <c r="E55" s="16"/>
      <c r="F55" s="16"/>
      <c r="G55" s="16"/>
    </row>
  </sheetData>
  <mergeCells count="44">
    <mergeCell ref="D2:G2"/>
    <mergeCell ref="D3:G3"/>
    <mergeCell ref="B4:G4"/>
    <mergeCell ref="C5:G5"/>
    <mergeCell ref="C6:G6"/>
    <mergeCell ref="B7:B12"/>
    <mergeCell ref="C7:G12"/>
    <mergeCell ref="B14:G14"/>
    <mergeCell ref="C15:G15"/>
    <mergeCell ref="C16:G16"/>
    <mergeCell ref="C17:G17"/>
    <mergeCell ref="C18:G18"/>
    <mergeCell ref="C19:G19"/>
    <mergeCell ref="C20:G20"/>
    <mergeCell ref="B22:G22"/>
    <mergeCell ref="C23:G23"/>
    <mergeCell ref="C24:G24"/>
    <mergeCell ref="C25:G25"/>
    <mergeCell ref="C26:G26"/>
    <mergeCell ref="C27:G27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B40:G40"/>
    <mergeCell ref="F41:G41"/>
    <mergeCell ref="F42:G42"/>
    <mergeCell ref="F43:G43"/>
    <mergeCell ref="B45:G45"/>
    <mergeCell ref="D46:G46"/>
    <mergeCell ref="D47:G47"/>
    <mergeCell ref="D48:G48"/>
    <mergeCell ref="D49:G49"/>
    <mergeCell ref="D50:G50"/>
    <mergeCell ref="B52:G52"/>
    <mergeCell ref="C53:G53"/>
    <mergeCell ref="C54:G54"/>
    <mergeCell ref="C55:G55"/>
  </mergeCells>
  <conditionalFormatting sqref="C5:G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C53:G55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dataValidations count="2">
    <dataValidation allowBlank="true" errorStyle="stop" operator="between" showDropDown="false" showErrorMessage="false" showInputMessage="false" sqref="C5" type="list">
      <formula1>"PASS,PASS WITH NOTES,FAIL"</formula1>
      <formula2>0</formula2>
    </dataValidation>
    <dataValidation allowBlank="true" errorStyle="stop" operator="between" showDropDown="false" showErrorMessage="false" showInputMessage="false" sqref="C18" type="list">
      <formula1>"Routine,Commissioning,Post-fault,Modification,Other"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8"/>
    <col collapsed="false" customWidth="true" hidden="false" outlineLevel="0" max="4" min="4" style="0" width="20"/>
    <col collapsed="false" customWidth="true" hidden="false" outlineLevel="0" max="7" min="5" style="0" width="18"/>
  </cols>
  <sheetData>
    <row r="2" customFormat="false" ht="22.05" hidden="false" customHeight="false" outlineLevel="0" collapsed="false">
      <c r="B2" s="1" t="s">
        <v>51</v>
      </c>
      <c r="C2" s="1"/>
      <c r="D2" s="1"/>
      <c r="E2" s="1"/>
      <c r="F2" s="1"/>
      <c r="G2" s="1"/>
    </row>
    <row r="4" customFormat="false" ht="21.75" hidden="false" customHeight="true" outlineLevel="0" collapsed="false">
      <c r="B4" s="3" t="s">
        <v>52</v>
      </c>
      <c r="C4" s="3"/>
      <c r="D4" s="3"/>
      <c r="E4" s="3"/>
      <c r="F4" s="3"/>
      <c r="G4" s="3"/>
    </row>
    <row r="5" customFormat="false" ht="21.75" hidden="false" customHeight="true" outlineLevel="0" collapsed="false">
      <c r="B5" s="9" t="s">
        <v>53</v>
      </c>
      <c r="C5" s="9" t="s">
        <v>54</v>
      </c>
      <c r="D5" s="17"/>
      <c r="E5" s="18"/>
      <c r="F5" s="18"/>
      <c r="G5" s="9"/>
    </row>
    <row r="6" customFormat="false" ht="15" hidden="false" customHeight="false" outlineLevel="0" collapsed="false">
      <c r="B6" s="19" t="s">
        <v>55</v>
      </c>
      <c r="C6" s="19"/>
      <c r="D6" s="20" t="s">
        <v>56</v>
      </c>
      <c r="E6" s="21" t="s">
        <v>56</v>
      </c>
      <c r="F6" s="21" t="s">
        <v>56</v>
      </c>
      <c r="G6" s="19" t="s">
        <v>56</v>
      </c>
    </row>
    <row r="7" customFormat="false" ht="15" hidden="false" customHeight="false" outlineLevel="0" collapsed="false">
      <c r="B7" s="9" t="s">
        <v>57</v>
      </c>
      <c r="C7" s="9"/>
      <c r="D7" s="17"/>
      <c r="E7" s="18"/>
      <c r="F7" s="18"/>
      <c r="G7" s="9"/>
    </row>
    <row r="8" customFormat="false" ht="15" hidden="false" customHeight="false" outlineLevel="0" collapsed="false">
      <c r="B8" s="19"/>
      <c r="C8" s="19"/>
      <c r="D8" s="20"/>
      <c r="E8" s="21"/>
      <c r="F8" s="21"/>
      <c r="G8" s="19"/>
    </row>
    <row r="9" customFormat="false" ht="15" hidden="false" customHeight="false" outlineLevel="0" collapsed="false">
      <c r="B9" s="9"/>
      <c r="C9" s="9"/>
      <c r="D9" s="17"/>
      <c r="E9" s="18"/>
      <c r="F9" s="18"/>
      <c r="G9" s="9"/>
    </row>
    <row r="13" customFormat="false" ht="21.75" hidden="false" customHeight="true" outlineLevel="0" collapsed="false">
      <c r="B13" s="3" t="s">
        <v>58</v>
      </c>
      <c r="C13" s="3"/>
      <c r="D13" s="3"/>
      <c r="E13" s="3"/>
      <c r="F13" s="3"/>
      <c r="G13" s="3"/>
    </row>
    <row r="14" customFormat="false" ht="21.75" hidden="false" customHeight="true" outlineLevel="0" collapsed="false">
      <c r="B14" s="10" t="s">
        <v>59</v>
      </c>
      <c r="C14" s="10" t="s">
        <v>60</v>
      </c>
      <c r="D14" s="10" t="s">
        <v>61</v>
      </c>
      <c r="E14" s="10" t="s">
        <v>62</v>
      </c>
      <c r="F14" s="10" t="s">
        <v>63</v>
      </c>
      <c r="G14" s="10"/>
    </row>
    <row r="15" customFormat="false" ht="15" hidden="false" customHeight="false" outlineLevel="0" collapsed="false">
      <c r="B15" s="9"/>
      <c r="C15" s="9" t="s">
        <v>64</v>
      </c>
      <c r="D15" s="17"/>
      <c r="E15" s="18"/>
      <c r="F15" s="9"/>
      <c r="G15" s="9"/>
    </row>
    <row r="16" customFormat="false" ht="15" hidden="false" customHeight="false" outlineLevel="0" collapsed="false">
      <c r="B16" s="19"/>
      <c r="C16" s="19" t="s">
        <v>65</v>
      </c>
      <c r="D16" s="20"/>
      <c r="E16" s="21"/>
      <c r="F16" s="19"/>
      <c r="G16" s="19"/>
    </row>
    <row r="17" customFormat="false" ht="15" hidden="false" customHeight="false" outlineLevel="0" collapsed="false">
      <c r="B17" s="9"/>
      <c r="C17" s="9" t="s">
        <v>66</v>
      </c>
      <c r="D17" s="17"/>
      <c r="E17" s="18"/>
      <c r="F17" s="9"/>
      <c r="G17" s="9"/>
    </row>
    <row r="18" customFormat="false" ht="15" hidden="false" customHeight="false" outlineLevel="0" collapsed="false">
      <c r="B18" s="19"/>
      <c r="C18" s="19" t="s">
        <v>67</v>
      </c>
      <c r="D18" s="20"/>
      <c r="E18" s="21"/>
      <c r="F18" s="19"/>
      <c r="G18" s="19"/>
    </row>
    <row r="19" customFormat="false" ht="20.85" hidden="false" customHeight="false" outlineLevel="0" collapsed="false">
      <c r="B19" s="9"/>
      <c r="C19" s="9" t="s">
        <v>68</v>
      </c>
      <c r="D19" s="17"/>
      <c r="E19" s="18"/>
      <c r="F19" s="9"/>
      <c r="G19" s="9"/>
    </row>
    <row r="20" customFormat="false" ht="15" hidden="false" customHeight="false" outlineLevel="0" collapsed="false">
      <c r="B20" s="19"/>
      <c r="C20" s="19"/>
      <c r="D20" s="20"/>
      <c r="E20" s="21"/>
      <c r="F20" s="19"/>
      <c r="G20" s="19"/>
    </row>
    <row r="22" customFormat="false" ht="21.75" hidden="false" customHeight="true" outlineLevel="0" collapsed="false">
      <c r="B22" s="3" t="s">
        <v>69</v>
      </c>
      <c r="C22" s="3"/>
      <c r="D22" s="3"/>
      <c r="E22" s="3"/>
      <c r="F22" s="3"/>
      <c r="G22" s="3"/>
    </row>
    <row r="23" customFormat="false" ht="15" hidden="false" customHeight="false" outlineLevel="0" collapsed="false">
      <c r="B23" s="22" t="s">
        <v>70</v>
      </c>
      <c r="C23" s="22"/>
      <c r="D23" s="22"/>
      <c r="E23" s="22"/>
      <c r="F23" s="22"/>
      <c r="G23" s="22"/>
    </row>
    <row r="24" customFormat="false" ht="21.75" hidden="false" customHeight="true" outlineLevel="0" collapsed="false">
      <c r="B24" s="4" t="s">
        <v>71</v>
      </c>
      <c r="C24" s="9"/>
      <c r="D24" s="9"/>
      <c r="E24" s="9"/>
      <c r="F24" s="9"/>
      <c r="G24" s="9"/>
    </row>
    <row r="25" customFormat="false" ht="21.75" hidden="false" customHeight="true" outlineLevel="0" collapsed="false">
      <c r="B25" s="4" t="s">
        <v>72</v>
      </c>
      <c r="C25" s="23" t="s">
        <v>73</v>
      </c>
      <c r="D25" s="23"/>
      <c r="E25" s="23"/>
      <c r="F25" s="23"/>
      <c r="G25" s="23"/>
    </row>
    <row r="26" customFormat="false" ht="21.75" hidden="false" customHeight="true" outlineLevel="0" collapsed="false">
      <c r="B26" s="4" t="s">
        <v>74</v>
      </c>
      <c r="C26" s="23" t="s">
        <v>73</v>
      </c>
      <c r="D26" s="23"/>
      <c r="E26" s="23"/>
      <c r="F26" s="23"/>
      <c r="G26" s="23"/>
    </row>
    <row r="27" customFormat="false" ht="21.75" hidden="false" customHeight="true" outlineLevel="0" collapsed="false">
      <c r="B27" s="4" t="s">
        <v>75</v>
      </c>
      <c r="C27" s="23" t="s">
        <v>73</v>
      </c>
      <c r="D27" s="23"/>
      <c r="E27" s="23"/>
      <c r="F27" s="23"/>
      <c r="G27" s="23"/>
    </row>
    <row r="28" customFormat="false" ht="21.75" hidden="false" customHeight="true" outlineLevel="0" collapsed="false">
      <c r="B28" s="4" t="s">
        <v>76</v>
      </c>
      <c r="C28" s="23" t="s">
        <v>73</v>
      </c>
      <c r="D28" s="23"/>
      <c r="E28" s="23"/>
      <c r="F28" s="23"/>
      <c r="G28" s="23"/>
    </row>
  </sheetData>
  <mergeCells count="10">
    <mergeCell ref="B2:G2"/>
    <mergeCell ref="B4:G4"/>
    <mergeCell ref="B13:G13"/>
    <mergeCell ref="B22:G22"/>
    <mergeCell ref="B23:G23"/>
    <mergeCell ref="C24:G24"/>
    <mergeCell ref="C25:G25"/>
    <mergeCell ref="C26:G26"/>
    <mergeCell ref="C27:G27"/>
    <mergeCell ref="C28:G28"/>
  </mergeCells>
  <hyperlinks>
    <hyperlink ref="C25" r:id="rId1" display="https://sharepoint.contactenergy.co.nz/"/>
    <hyperlink ref="C26" r:id="rId2" display="https://sharepoint.contactenergy.co.nz/"/>
    <hyperlink ref="C27" r:id="rId3" display="https://sharepoint.contactenergy.co.nz/"/>
    <hyperlink ref="C28" r:id="rId4" display="https://sharepoint.contactenergy.co.nz/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4"/>
  </cols>
  <sheetData>
    <row r="2" customFormat="false" ht="22.05" hidden="false" customHeight="false" outlineLevel="0" collapsed="false">
      <c r="B2" s="1" t="s">
        <v>77</v>
      </c>
      <c r="C2" s="1"/>
      <c r="D2" s="1"/>
      <c r="E2" s="1"/>
      <c r="F2" s="1"/>
    </row>
    <row r="4" customFormat="false" ht="21.75" hidden="false" customHeight="true" outlineLevel="0" collapsed="false">
      <c r="B4" s="3" t="s">
        <v>78</v>
      </c>
      <c r="C4" s="3"/>
      <c r="D4" s="3"/>
      <c r="E4" s="3"/>
      <c r="F4" s="3"/>
    </row>
    <row r="5" customFormat="false" ht="19.5" hidden="false" customHeight="true" outlineLevel="0" collapsed="false">
      <c r="B5" s="10" t="s">
        <v>79</v>
      </c>
      <c r="C5" s="10" t="s">
        <v>80</v>
      </c>
      <c r="D5" s="10" t="s">
        <v>81</v>
      </c>
      <c r="E5" s="10" t="s">
        <v>82</v>
      </c>
      <c r="F5" s="10" t="s">
        <v>83</v>
      </c>
    </row>
    <row r="6" customFormat="false" ht="19.5" hidden="false" customHeight="true" outlineLevel="0" collapsed="false">
      <c r="B6" s="24" t="n">
        <v>1</v>
      </c>
      <c r="C6" s="25" t="s">
        <v>84</v>
      </c>
      <c r="D6" s="26"/>
      <c r="E6" s="9"/>
      <c r="F6" s="26"/>
    </row>
    <row r="7" customFormat="false" ht="19.5" hidden="false" customHeight="true" outlineLevel="0" collapsed="false">
      <c r="B7" s="27" t="n">
        <v>2</v>
      </c>
      <c r="C7" s="28" t="s">
        <v>85</v>
      </c>
      <c r="D7" s="29"/>
      <c r="E7" s="19"/>
      <c r="F7" s="29"/>
    </row>
    <row r="8" customFormat="false" ht="19.5" hidden="false" customHeight="true" outlineLevel="0" collapsed="false">
      <c r="B8" s="24" t="n">
        <v>3</v>
      </c>
      <c r="C8" s="25" t="s">
        <v>86</v>
      </c>
      <c r="D8" s="26"/>
      <c r="E8" s="9"/>
      <c r="F8" s="26"/>
    </row>
    <row r="9" customFormat="false" ht="19.5" hidden="false" customHeight="true" outlineLevel="0" collapsed="false">
      <c r="B9" s="27" t="n">
        <v>4</v>
      </c>
      <c r="C9" s="28" t="s">
        <v>87</v>
      </c>
      <c r="D9" s="29"/>
      <c r="E9" s="19"/>
      <c r="F9" s="29"/>
    </row>
    <row r="10" customFormat="false" ht="19.5" hidden="false" customHeight="true" outlineLevel="0" collapsed="false">
      <c r="B10" s="24" t="n">
        <v>5</v>
      </c>
      <c r="C10" s="25" t="s">
        <v>88</v>
      </c>
      <c r="D10" s="26"/>
      <c r="E10" s="9"/>
      <c r="F10" s="26"/>
    </row>
    <row r="12" customFormat="false" ht="21.75" hidden="false" customHeight="true" outlineLevel="0" collapsed="false">
      <c r="B12" s="3" t="s">
        <v>89</v>
      </c>
      <c r="C12" s="3"/>
      <c r="D12" s="3"/>
      <c r="E12" s="3"/>
      <c r="F12" s="3"/>
    </row>
    <row r="13" customFormat="false" ht="19.5" hidden="false" customHeight="true" outlineLevel="0" collapsed="false">
      <c r="B13" s="10" t="s">
        <v>79</v>
      </c>
      <c r="C13" s="10" t="s">
        <v>80</v>
      </c>
      <c r="D13" s="10" t="s">
        <v>81</v>
      </c>
      <c r="E13" s="10" t="s">
        <v>82</v>
      </c>
      <c r="F13" s="10" t="s">
        <v>83</v>
      </c>
    </row>
    <row r="14" customFormat="false" ht="19.5" hidden="false" customHeight="true" outlineLevel="0" collapsed="false">
      <c r="B14" s="24" t="n">
        <v>6</v>
      </c>
      <c r="C14" s="25" t="s">
        <v>90</v>
      </c>
      <c r="D14" s="26"/>
      <c r="E14" s="9"/>
      <c r="F14" s="26"/>
    </row>
    <row r="15" customFormat="false" ht="19.5" hidden="false" customHeight="true" outlineLevel="0" collapsed="false">
      <c r="B15" s="27" t="n">
        <v>7</v>
      </c>
      <c r="C15" s="28" t="s">
        <v>91</v>
      </c>
      <c r="D15" s="29"/>
      <c r="E15" s="19"/>
      <c r="F15" s="29"/>
    </row>
    <row r="16" customFormat="false" ht="19.5" hidden="false" customHeight="true" outlineLevel="0" collapsed="false">
      <c r="B16" s="24" t="n">
        <v>8</v>
      </c>
      <c r="C16" s="25" t="s">
        <v>92</v>
      </c>
      <c r="D16" s="26"/>
      <c r="E16" s="9"/>
      <c r="F16" s="26"/>
    </row>
    <row r="17" customFormat="false" ht="19.5" hidden="false" customHeight="true" outlineLevel="0" collapsed="false">
      <c r="B17" s="27" t="n">
        <v>9</v>
      </c>
      <c r="C17" s="28" t="s">
        <v>93</v>
      </c>
      <c r="D17" s="29"/>
      <c r="E17" s="19"/>
      <c r="F17" s="29"/>
    </row>
    <row r="18" customFormat="false" ht="19.5" hidden="false" customHeight="true" outlineLevel="0" collapsed="false">
      <c r="B18" s="24" t="n">
        <v>10</v>
      </c>
      <c r="C18" s="25" t="s">
        <v>94</v>
      </c>
      <c r="D18" s="26"/>
      <c r="E18" s="9"/>
      <c r="F18" s="26"/>
    </row>
    <row r="20" customFormat="false" ht="21.75" hidden="false" customHeight="true" outlineLevel="0" collapsed="false">
      <c r="B20" s="3" t="s">
        <v>95</v>
      </c>
      <c r="C20" s="3"/>
      <c r="D20" s="3"/>
      <c r="E20" s="3"/>
      <c r="F20" s="3"/>
    </row>
    <row r="21" customFormat="false" ht="19.5" hidden="false" customHeight="true" outlineLevel="0" collapsed="false">
      <c r="B21" s="10" t="s">
        <v>79</v>
      </c>
      <c r="C21" s="10" t="s">
        <v>80</v>
      </c>
      <c r="D21" s="10" t="s">
        <v>81</v>
      </c>
      <c r="E21" s="10" t="s">
        <v>82</v>
      </c>
      <c r="F21" s="10" t="s">
        <v>83</v>
      </c>
    </row>
    <row r="22" customFormat="false" ht="19.5" hidden="false" customHeight="true" outlineLevel="0" collapsed="false">
      <c r="B22" s="24" t="n">
        <v>11</v>
      </c>
      <c r="C22" s="25" t="s">
        <v>96</v>
      </c>
      <c r="D22" s="26"/>
      <c r="E22" s="9"/>
      <c r="F22" s="26"/>
    </row>
    <row r="23" customFormat="false" ht="19.5" hidden="false" customHeight="true" outlineLevel="0" collapsed="false">
      <c r="B23" s="27" t="n">
        <v>12</v>
      </c>
      <c r="C23" s="28" t="s">
        <v>97</v>
      </c>
      <c r="D23" s="29"/>
      <c r="E23" s="19"/>
      <c r="F23" s="29"/>
    </row>
    <row r="24" customFormat="false" ht="19.5" hidden="false" customHeight="true" outlineLevel="0" collapsed="false">
      <c r="B24" s="24" t="n">
        <v>13</v>
      </c>
      <c r="C24" s="25" t="s">
        <v>98</v>
      </c>
      <c r="D24" s="26"/>
      <c r="E24" s="9"/>
      <c r="F24" s="26"/>
    </row>
    <row r="26" customFormat="false" ht="21.75" hidden="false" customHeight="true" outlineLevel="0" collapsed="false">
      <c r="B26" s="3" t="s">
        <v>99</v>
      </c>
      <c r="C26" s="3"/>
      <c r="D26" s="3"/>
      <c r="E26" s="3"/>
      <c r="F26" s="3"/>
    </row>
    <row r="27" customFormat="false" ht="19.5" hidden="false" customHeight="true" outlineLevel="0" collapsed="false">
      <c r="B27" s="10" t="s">
        <v>79</v>
      </c>
      <c r="C27" s="10" t="s">
        <v>80</v>
      </c>
      <c r="D27" s="10" t="s">
        <v>81</v>
      </c>
      <c r="E27" s="10" t="s">
        <v>82</v>
      </c>
      <c r="F27" s="10" t="s">
        <v>83</v>
      </c>
    </row>
    <row r="28" customFormat="false" ht="19.5" hidden="false" customHeight="true" outlineLevel="0" collapsed="false">
      <c r="B28" s="24" t="n">
        <v>14</v>
      </c>
      <c r="C28" s="25" t="s">
        <v>100</v>
      </c>
      <c r="D28" s="26"/>
      <c r="E28" s="9"/>
      <c r="F28" s="26"/>
    </row>
    <row r="29" customFormat="false" ht="19.5" hidden="false" customHeight="true" outlineLevel="0" collapsed="false">
      <c r="B29" s="27" t="n">
        <v>15</v>
      </c>
      <c r="C29" s="28" t="s">
        <v>101</v>
      </c>
      <c r="D29" s="29"/>
      <c r="E29" s="19"/>
      <c r="F29" s="29"/>
    </row>
    <row r="30" customFormat="false" ht="19.5" hidden="false" customHeight="true" outlineLevel="0" collapsed="false">
      <c r="B30" s="24" t="n">
        <v>16</v>
      </c>
      <c r="C30" s="25" t="s">
        <v>102</v>
      </c>
      <c r="D30" s="26"/>
      <c r="E30" s="9"/>
      <c r="F30" s="26"/>
    </row>
    <row r="31" customFormat="false" ht="19.5" hidden="false" customHeight="true" outlineLevel="0" collapsed="false">
      <c r="B31" s="27" t="n">
        <v>17</v>
      </c>
      <c r="C31" s="28" t="s">
        <v>103</v>
      </c>
      <c r="D31" s="29"/>
      <c r="E31" s="19"/>
      <c r="F31" s="29"/>
    </row>
    <row r="33" customFormat="false" ht="21.75" hidden="false" customHeight="true" outlineLevel="0" collapsed="false">
      <c r="B33" s="3" t="s">
        <v>104</v>
      </c>
      <c r="C33" s="3"/>
      <c r="D33" s="3"/>
      <c r="E33" s="3"/>
      <c r="F33" s="3"/>
    </row>
    <row r="34" customFormat="false" ht="19.5" hidden="false" customHeight="true" outlineLevel="0" collapsed="false">
      <c r="B34" s="10" t="s">
        <v>79</v>
      </c>
      <c r="C34" s="10" t="s">
        <v>80</v>
      </c>
      <c r="D34" s="10" t="s">
        <v>81</v>
      </c>
      <c r="E34" s="10" t="s">
        <v>82</v>
      </c>
      <c r="F34" s="10" t="s">
        <v>83</v>
      </c>
    </row>
    <row r="35" customFormat="false" ht="19.5" hidden="false" customHeight="true" outlineLevel="0" collapsed="false">
      <c r="B35" s="24" t="n">
        <v>18</v>
      </c>
      <c r="C35" s="25" t="s">
        <v>105</v>
      </c>
      <c r="D35" s="26"/>
      <c r="E35" s="9"/>
      <c r="F35" s="26"/>
    </row>
    <row r="36" customFormat="false" ht="19.5" hidden="false" customHeight="true" outlineLevel="0" collapsed="false">
      <c r="B36" s="27" t="n">
        <v>19</v>
      </c>
      <c r="C36" s="28" t="s">
        <v>106</v>
      </c>
      <c r="D36" s="29"/>
      <c r="E36" s="19"/>
      <c r="F36" s="29"/>
    </row>
    <row r="38" customFormat="false" ht="21.75" hidden="false" customHeight="true" outlineLevel="0" collapsed="false">
      <c r="B38" s="3" t="s">
        <v>107</v>
      </c>
      <c r="C38" s="3"/>
      <c r="D38" s="3"/>
      <c r="E38" s="3"/>
      <c r="F38" s="3"/>
    </row>
    <row r="39" customFormat="false" ht="19.5" hidden="false" customHeight="true" outlineLevel="0" collapsed="false">
      <c r="B39" s="10" t="s">
        <v>79</v>
      </c>
      <c r="C39" s="10" t="s">
        <v>80</v>
      </c>
      <c r="D39" s="10" t="s">
        <v>81</v>
      </c>
      <c r="E39" s="10" t="s">
        <v>82</v>
      </c>
      <c r="F39" s="10" t="s">
        <v>83</v>
      </c>
    </row>
    <row r="40" customFormat="false" ht="19.5" hidden="false" customHeight="true" outlineLevel="0" collapsed="false">
      <c r="B40" s="24" t="n">
        <v>20</v>
      </c>
      <c r="C40" s="25" t="s">
        <v>108</v>
      </c>
      <c r="D40" s="26"/>
      <c r="E40" s="9"/>
      <c r="F40" s="26"/>
    </row>
    <row r="41" customFormat="false" ht="19.5" hidden="false" customHeight="true" outlineLevel="0" collapsed="false">
      <c r="B41" s="27" t="n">
        <v>21</v>
      </c>
      <c r="C41" s="28" t="s">
        <v>109</v>
      </c>
      <c r="D41" s="29"/>
      <c r="E41" s="19"/>
      <c r="F41" s="29"/>
    </row>
    <row r="42" customFormat="false" ht="19.5" hidden="false" customHeight="true" outlineLevel="0" collapsed="false">
      <c r="B42" s="24" t="n">
        <v>22</v>
      </c>
      <c r="C42" s="25" t="s">
        <v>110</v>
      </c>
      <c r="D42" s="26"/>
      <c r="E42" s="9"/>
      <c r="F42" s="26"/>
    </row>
    <row r="43" customFormat="false" ht="19.5" hidden="false" customHeight="true" outlineLevel="0" collapsed="false">
      <c r="B43" s="27" t="n">
        <v>23</v>
      </c>
      <c r="C43" s="28" t="s">
        <v>111</v>
      </c>
      <c r="D43" s="29"/>
      <c r="E43" s="19"/>
      <c r="F43" s="29"/>
    </row>
    <row r="44" customFormat="false" ht="19.5" hidden="false" customHeight="true" outlineLevel="0" collapsed="false">
      <c r="B44" s="24" t="n">
        <v>24</v>
      </c>
      <c r="C44" s="25" t="s">
        <v>112</v>
      </c>
      <c r="D44" s="26"/>
      <c r="E44" s="9"/>
      <c r="F44" s="26"/>
    </row>
    <row r="46" customFormat="false" ht="21.75" hidden="false" customHeight="true" outlineLevel="0" collapsed="false">
      <c r="B46" s="3" t="s">
        <v>113</v>
      </c>
      <c r="C46" s="3"/>
      <c r="D46" s="3"/>
      <c r="E46" s="3"/>
      <c r="F46" s="3"/>
    </row>
    <row r="47" customFormat="false" ht="19.5" hidden="false" customHeight="true" outlineLevel="0" collapsed="false">
      <c r="B47" s="10" t="s">
        <v>79</v>
      </c>
      <c r="C47" s="10" t="s">
        <v>80</v>
      </c>
      <c r="D47" s="10" t="s">
        <v>81</v>
      </c>
      <c r="E47" s="10" t="s">
        <v>82</v>
      </c>
      <c r="F47" s="10" t="s">
        <v>83</v>
      </c>
    </row>
    <row r="48" customFormat="false" ht="19.5" hidden="false" customHeight="true" outlineLevel="0" collapsed="false">
      <c r="B48" s="24" t="n">
        <v>25</v>
      </c>
      <c r="C48" s="25" t="s">
        <v>114</v>
      </c>
      <c r="D48" s="26"/>
      <c r="E48" s="9"/>
      <c r="F48" s="26"/>
    </row>
    <row r="49" customFormat="false" ht="19.5" hidden="false" customHeight="true" outlineLevel="0" collapsed="false">
      <c r="B49" s="27" t="n">
        <v>26</v>
      </c>
      <c r="C49" s="28" t="s">
        <v>115</v>
      </c>
      <c r="D49" s="29"/>
      <c r="E49" s="19"/>
      <c r="F49" s="29"/>
    </row>
    <row r="50" customFormat="false" ht="19.5" hidden="false" customHeight="true" outlineLevel="0" collapsed="false">
      <c r="B50" s="24" t="n">
        <v>27</v>
      </c>
      <c r="C50" s="25" t="s">
        <v>116</v>
      </c>
      <c r="D50" s="26"/>
      <c r="E50" s="9"/>
      <c r="F50" s="26"/>
    </row>
    <row r="51" customFormat="false" ht="19.5" hidden="false" customHeight="true" outlineLevel="0" collapsed="false">
      <c r="B51" s="27" t="n">
        <v>28</v>
      </c>
      <c r="C51" s="28" t="s">
        <v>117</v>
      </c>
      <c r="D51" s="29"/>
      <c r="E51" s="19"/>
      <c r="F51" s="29"/>
    </row>
    <row r="52" customFormat="false" ht="19.5" hidden="false" customHeight="true" outlineLevel="0" collapsed="false">
      <c r="B52" s="24" t="n">
        <v>29</v>
      </c>
      <c r="C52" s="25" t="s">
        <v>118</v>
      </c>
      <c r="D52" s="26"/>
      <c r="E52" s="9"/>
      <c r="F52" s="26"/>
    </row>
  </sheetData>
  <mergeCells count="8">
    <mergeCell ref="B2:F2"/>
    <mergeCell ref="B4:F4"/>
    <mergeCell ref="B12:F12"/>
    <mergeCell ref="B20:F20"/>
    <mergeCell ref="B26:F26"/>
    <mergeCell ref="B33:F33"/>
    <mergeCell ref="B38:F38"/>
    <mergeCell ref="B46:F46"/>
  </mergeCells>
  <conditionalFormatting sqref="D5:D30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Style="stop" operator="between" showDropDown="false" showErrorMessage="false" showInputMessage="false" sqref="D6:D10 D14:D18 D22:D24 D28:D31 D35:D36 D40:D44 D48:D52" type="list">
      <formula1>"OK,N/A,FAIL"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11" min="8" style="0" width="12"/>
    <col collapsed="false" customWidth="true" hidden="false" outlineLevel="0" max="12" min="12" style="0" width="26"/>
  </cols>
  <sheetData>
    <row r="2" customFormat="false" ht="22.05" hidden="false" customHeight="false" outlineLevel="0" collapsed="false">
      <c r="B2" s="1" t="s">
        <v>119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B3" s="2" t="s">
        <v>120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B4" s="22" t="s">
        <v>121</v>
      </c>
      <c r="C4" s="22"/>
      <c r="D4" s="22"/>
      <c r="E4" s="22"/>
      <c r="F4" s="22"/>
      <c r="G4" s="22"/>
      <c r="H4" s="22"/>
      <c r="I4" s="22"/>
      <c r="J4" s="22"/>
      <c r="K4" s="22"/>
      <c r="L4" s="22"/>
    </row>
    <row r="5" customFormat="false" ht="21.75" hidden="false" customHeight="true" outlineLevel="0" collapsed="false">
      <c r="B5" s="3" t="s">
        <v>122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30" hidden="false" customHeight="true" outlineLevel="0" collapsed="false"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G6" s="10" t="s">
        <v>128</v>
      </c>
      <c r="H6" s="10" t="s">
        <v>129</v>
      </c>
      <c r="I6" s="10" t="s">
        <v>130</v>
      </c>
      <c r="J6" s="10" t="s">
        <v>131</v>
      </c>
      <c r="K6" s="10" t="s">
        <v>132</v>
      </c>
      <c r="L6" s="10" t="s">
        <v>63</v>
      </c>
    </row>
    <row r="7" customFormat="false" ht="18" hidden="false" customHeight="true" outlineLevel="0" collapsed="false">
      <c r="B7" s="24" t="n">
        <v>1</v>
      </c>
      <c r="C7" s="30" t="n">
        <v>63.5</v>
      </c>
      <c r="D7" s="12" t="n">
        <v>0</v>
      </c>
      <c r="E7" s="26" t="s">
        <v>133</v>
      </c>
      <c r="F7" s="31" t="n">
        <f aca="false">IFERROR(C7*Ratio_VTphase,"")</f>
        <v>11000</v>
      </c>
      <c r="G7" s="32"/>
      <c r="H7" s="12"/>
      <c r="I7" s="31" t="str">
        <f aca="false">IFERROR(IF(OR(F7="",G7=""),"",(G7-F7)/F7*100),"")</f>
        <v/>
      </c>
      <c r="J7" s="31" t="str">
        <f aca="false">IFERROR(IF(OR(D7="",H7=""),"",H7-D7),"")</f>
        <v/>
      </c>
      <c r="K7" s="24" t="str">
        <f aca="false">IF(AND(I7="",J7=""),"",IF(OR(AND(I7&lt;&gt;"",ABS(I7)&gt;TolV_pct),AND(J7&lt;&gt;"",ABS(J7)&gt;TolAngle_deg)),"FAIL","PASS"))</f>
        <v/>
      </c>
      <c r="L7" s="26"/>
    </row>
    <row r="8" customFormat="false" ht="18" hidden="false" customHeight="true" outlineLevel="0" collapsed="false">
      <c r="B8" s="27" t="n">
        <v>1</v>
      </c>
      <c r="C8" s="33" t="n">
        <v>63.5</v>
      </c>
      <c r="D8" s="34" t="n">
        <v>-120</v>
      </c>
      <c r="E8" s="29" t="s">
        <v>134</v>
      </c>
      <c r="F8" s="35" t="n">
        <f aca="false">IFERROR(C8*Ratio_VTphase,"")</f>
        <v>11000</v>
      </c>
      <c r="G8" s="36"/>
      <c r="H8" s="34"/>
      <c r="I8" s="35" t="str">
        <f aca="false">IFERROR(IF(OR(F8="",G8=""),"",(G8-F8)/F8*100),"")</f>
        <v/>
      </c>
      <c r="J8" s="35" t="str">
        <f aca="false">IFERROR(IF(OR(D8="",H8=""),"",H8-D8),"")</f>
        <v/>
      </c>
      <c r="K8" s="27" t="str">
        <f aca="false">IF(AND(I8="",J8=""),"",IF(OR(AND(I8&lt;&gt;"",ABS(I8)&gt;TolV_pct),AND(J8&lt;&gt;"",ABS(J8)&gt;TolAngle_deg)),"FAIL","PASS"))</f>
        <v/>
      </c>
      <c r="L8" s="29"/>
    </row>
    <row r="9" customFormat="false" ht="18" hidden="false" customHeight="true" outlineLevel="0" collapsed="false">
      <c r="B9" s="24" t="n">
        <v>1</v>
      </c>
      <c r="C9" s="30" t="n">
        <v>63.5</v>
      </c>
      <c r="D9" s="12" t="n">
        <v>120</v>
      </c>
      <c r="E9" s="26" t="s">
        <v>135</v>
      </c>
      <c r="F9" s="31" t="n">
        <f aca="false">IFERROR(C9*Ratio_VTphase,"")</f>
        <v>11000</v>
      </c>
      <c r="G9" s="32"/>
      <c r="H9" s="12"/>
      <c r="I9" s="31" t="str">
        <f aca="false">IFERROR(IF(OR(F9="",G9=""),"",(G9-F9)/F9*100),"")</f>
        <v/>
      </c>
      <c r="J9" s="31" t="str">
        <f aca="false">IFERROR(IF(OR(D9="",H9=""),"",H9-D9),"")</f>
        <v/>
      </c>
      <c r="K9" s="24" t="str">
        <f aca="false">IF(AND(I9="",J9=""),"",IF(OR(AND(I9&lt;&gt;"",ABS(I9)&gt;TolV_pct),AND(J9&lt;&gt;"",ABS(J9)&gt;TolAngle_deg)),"FAIL","PASS"))</f>
        <v/>
      </c>
      <c r="L9" s="26"/>
    </row>
    <row r="10" customFormat="false" ht="18" hidden="false" customHeight="true" outlineLevel="0" collapsed="false">
      <c r="B10" s="27" t="n">
        <v>2</v>
      </c>
      <c r="C10" s="33" t="n">
        <v>110</v>
      </c>
      <c r="D10" s="34" t="n">
        <v>0</v>
      </c>
      <c r="E10" s="29" t="s">
        <v>133</v>
      </c>
      <c r="F10" s="35" t="n">
        <f aca="false">IFERROR(C10*Ratio_VTphase,"")</f>
        <v>19055.1181102362</v>
      </c>
      <c r="G10" s="36"/>
      <c r="H10" s="34"/>
      <c r="I10" s="35" t="str">
        <f aca="false">IFERROR(IF(OR(F10="",G10=""),"",(G10-F10)/F10*100),"")</f>
        <v/>
      </c>
      <c r="J10" s="35" t="str">
        <f aca="false">IFERROR(IF(OR(D10="",H10=""),"",H10-D10),"")</f>
        <v/>
      </c>
      <c r="K10" s="27" t="str">
        <f aca="false">IF(AND(I10="",J10=""),"",IF(OR(AND(I10&lt;&gt;"",ABS(I10)&gt;TolV_pct),AND(J10&lt;&gt;"",ABS(J10)&gt;TolAngle_deg)),"FAIL","PASS"))</f>
        <v/>
      </c>
      <c r="L10" s="29"/>
    </row>
    <row r="11" customFormat="false" ht="18" hidden="false" customHeight="true" outlineLevel="0" collapsed="false">
      <c r="B11" s="24" t="n">
        <v>2</v>
      </c>
      <c r="C11" s="30" t="n">
        <v>110</v>
      </c>
      <c r="D11" s="12" t="n">
        <v>-120</v>
      </c>
      <c r="E11" s="26" t="s">
        <v>134</v>
      </c>
      <c r="F11" s="31" t="n">
        <f aca="false">IFERROR(C11*Ratio_VTphase,"")</f>
        <v>19055.1181102362</v>
      </c>
      <c r="G11" s="32"/>
      <c r="H11" s="12"/>
      <c r="I11" s="31" t="str">
        <f aca="false">IFERROR(IF(OR(F11="",G11=""),"",(G11-F11)/F11*100),"")</f>
        <v/>
      </c>
      <c r="J11" s="31" t="str">
        <f aca="false">IFERROR(IF(OR(D11="",H11=""),"",H11-D11),"")</f>
        <v/>
      </c>
      <c r="K11" s="24" t="str">
        <f aca="false">IF(AND(I11="",J11=""),"",IF(OR(AND(I11&lt;&gt;"",ABS(I11)&gt;TolV_pct),AND(J11&lt;&gt;"",ABS(J11)&gt;TolAngle_deg)),"FAIL","PASS"))</f>
        <v/>
      </c>
      <c r="L11" s="26"/>
    </row>
    <row r="12" customFormat="false" ht="18" hidden="false" customHeight="true" outlineLevel="0" collapsed="false">
      <c r="B12" s="27" t="n">
        <v>2</v>
      </c>
      <c r="C12" s="33" t="n">
        <v>110</v>
      </c>
      <c r="D12" s="34" t="n">
        <v>120</v>
      </c>
      <c r="E12" s="29" t="s">
        <v>135</v>
      </c>
      <c r="F12" s="35" t="n">
        <f aca="false">IFERROR(C12*Ratio_VTphase,"")</f>
        <v>19055.1181102362</v>
      </c>
      <c r="G12" s="36"/>
      <c r="H12" s="34"/>
      <c r="I12" s="35" t="str">
        <f aca="false">IFERROR(IF(OR(F12="",G12=""),"",(G12-F12)/F12*100),"")</f>
        <v/>
      </c>
      <c r="J12" s="35" t="str">
        <f aca="false">IFERROR(IF(OR(D12="",H12=""),"",H12-D12),"")</f>
        <v/>
      </c>
      <c r="K12" s="27" t="str">
        <f aca="false">IF(AND(I12="",J12=""),"",IF(OR(AND(I12&lt;&gt;"",ABS(I12)&gt;TolV_pct),AND(J12&lt;&gt;"",ABS(J12)&gt;TolAngle_deg)),"FAIL","PASS"))</f>
        <v/>
      </c>
      <c r="L12" s="29"/>
    </row>
    <row r="13" customFormat="false" ht="18" hidden="false" customHeight="true" outlineLevel="0" collapsed="false">
      <c r="B13" s="24" t="n">
        <v>3</v>
      </c>
      <c r="C13" s="30" t="n">
        <v>30</v>
      </c>
      <c r="D13" s="12" t="n">
        <v>0</v>
      </c>
      <c r="E13" s="26" t="s">
        <v>133</v>
      </c>
      <c r="F13" s="31" t="n">
        <f aca="false">IFERROR(C13*Ratio_VTphase,"")</f>
        <v>5196.85039370079</v>
      </c>
      <c r="G13" s="32"/>
      <c r="H13" s="12"/>
      <c r="I13" s="31" t="str">
        <f aca="false">IFERROR(IF(OR(F13="",G13=""),"",(G13-F13)/F13*100),"")</f>
        <v/>
      </c>
      <c r="J13" s="31" t="str">
        <f aca="false">IFERROR(IF(OR(D13="",H13=""),"",H13-D13),"")</f>
        <v/>
      </c>
      <c r="K13" s="24" t="str">
        <f aca="false">IF(AND(I13="",J13=""),"",IF(OR(AND(I13&lt;&gt;"",ABS(I13)&gt;TolV_pct),AND(J13&lt;&gt;"",ABS(J13)&gt;TolAngle_deg)),"FAIL","PASS"))</f>
        <v/>
      </c>
      <c r="L13" s="26"/>
    </row>
    <row r="14" customFormat="false" ht="18" hidden="false" customHeight="true" outlineLevel="0" collapsed="false">
      <c r="B14" s="27" t="n">
        <v>3</v>
      </c>
      <c r="C14" s="33" t="n">
        <v>30</v>
      </c>
      <c r="D14" s="34" t="n">
        <v>-120</v>
      </c>
      <c r="E14" s="29" t="s">
        <v>134</v>
      </c>
      <c r="F14" s="35" t="n">
        <f aca="false">IFERROR(C14*Ratio_VTphase,"")</f>
        <v>5196.85039370079</v>
      </c>
      <c r="G14" s="36"/>
      <c r="H14" s="34"/>
      <c r="I14" s="35" t="str">
        <f aca="false">IFERROR(IF(OR(F14="",G14=""),"",(G14-F14)/F14*100),"")</f>
        <v/>
      </c>
      <c r="J14" s="35" t="str">
        <f aca="false">IFERROR(IF(OR(D14="",H14=""),"",H14-D14),"")</f>
        <v/>
      </c>
      <c r="K14" s="27" t="str">
        <f aca="false">IF(AND(I14="",J14=""),"",IF(OR(AND(I14&lt;&gt;"",ABS(I14)&gt;TolV_pct),AND(J14&lt;&gt;"",ABS(J14)&gt;TolAngle_deg)),"FAIL","PASS"))</f>
        <v/>
      </c>
      <c r="L14" s="29"/>
    </row>
    <row r="15" customFormat="false" ht="18" hidden="false" customHeight="true" outlineLevel="0" collapsed="false">
      <c r="B15" s="24" t="n">
        <v>3</v>
      </c>
      <c r="C15" s="30" t="n">
        <v>30</v>
      </c>
      <c r="D15" s="12" t="n">
        <v>120</v>
      </c>
      <c r="E15" s="26" t="s">
        <v>135</v>
      </c>
      <c r="F15" s="31" t="n">
        <f aca="false">IFERROR(C15*Ratio_VTphase,"")</f>
        <v>5196.85039370079</v>
      </c>
      <c r="G15" s="32"/>
      <c r="H15" s="12"/>
      <c r="I15" s="31" t="str">
        <f aca="false">IFERROR(IF(OR(F15="",G15=""),"",(G15-F15)/F15*100),"")</f>
        <v/>
      </c>
      <c r="J15" s="31" t="str">
        <f aca="false">IFERROR(IF(OR(D15="",H15=""),"",H15-D15),"")</f>
        <v/>
      </c>
      <c r="K15" s="24" t="str">
        <f aca="false">IF(AND(I15="",J15=""),"",IF(OR(AND(I15&lt;&gt;"",ABS(I15)&gt;TolV_pct),AND(J15&lt;&gt;"",ABS(J15)&gt;TolAngle_deg)),"FAIL","PASS"))</f>
        <v/>
      </c>
      <c r="L15" s="26"/>
    </row>
    <row r="17" customFormat="false" ht="21.75" hidden="false" customHeight="true" outlineLevel="0" collapsed="false">
      <c r="B17" s="3" t="s">
        <v>136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30" hidden="false" customHeight="true" outlineLevel="0" collapsed="false">
      <c r="B18" s="10" t="s">
        <v>123</v>
      </c>
      <c r="C18" s="10" t="s">
        <v>124</v>
      </c>
      <c r="D18" s="10" t="s">
        <v>125</v>
      </c>
      <c r="E18" s="10" t="s">
        <v>126</v>
      </c>
      <c r="F18" s="10" t="s">
        <v>127</v>
      </c>
      <c r="G18" s="10" t="s">
        <v>128</v>
      </c>
      <c r="H18" s="10" t="s">
        <v>129</v>
      </c>
      <c r="I18" s="10" t="s">
        <v>130</v>
      </c>
      <c r="J18" s="10" t="s">
        <v>131</v>
      </c>
      <c r="K18" s="10" t="s">
        <v>132</v>
      </c>
      <c r="L18" s="10" t="s">
        <v>63</v>
      </c>
    </row>
    <row r="19" customFormat="false" ht="18" hidden="false" customHeight="true" outlineLevel="0" collapsed="false">
      <c r="B19" s="24" t="n">
        <v>1</v>
      </c>
      <c r="C19" s="30" t="n">
        <v>10</v>
      </c>
      <c r="D19" s="12" t="n">
        <v>0</v>
      </c>
      <c r="E19" s="26" t="s">
        <v>137</v>
      </c>
      <c r="F19" s="31" t="n">
        <f aca="false">IFERROR(C19*Ratio_VTuo,"")</f>
        <v>1000</v>
      </c>
      <c r="G19" s="32"/>
      <c r="H19" s="12"/>
      <c r="I19" s="31" t="str">
        <f aca="false">IFERROR(IF(OR(F19="",G19=""),"",(G19-F19)/F19*100),"")</f>
        <v/>
      </c>
      <c r="J19" s="31" t="str">
        <f aca="false">IFERROR(IF(OR(D19="",H19=""),"",H19-D19),"")</f>
        <v/>
      </c>
      <c r="K19" s="24" t="str">
        <f aca="false">IF(AND(I19="",J19=""),"",IF(OR(AND(I19&lt;&gt;"",ABS(I19)&gt;TolV_pct),AND(J19&lt;&gt;"",ABS(J19)&gt;TolAngle_deg)),"FAIL","PASS"))</f>
        <v/>
      </c>
      <c r="L19" s="26"/>
    </row>
    <row r="20" customFormat="false" ht="18" hidden="false" customHeight="true" outlineLevel="0" collapsed="false">
      <c r="B20" s="27" t="n">
        <v>2</v>
      </c>
      <c r="C20" s="33" t="n">
        <v>30</v>
      </c>
      <c r="D20" s="34" t="n">
        <v>0</v>
      </c>
      <c r="E20" s="29" t="s">
        <v>137</v>
      </c>
      <c r="F20" s="35" t="n">
        <f aca="false">IFERROR(C20*Ratio_VTuo,"")</f>
        <v>3000</v>
      </c>
      <c r="G20" s="36"/>
      <c r="H20" s="34"/>
      <c r="I20" s="35" t="str">
        <f aca="false">IFERROR(IF(OR(F20="",G20=""),"",(G20-F20)/F20*100),"")</f>
        <v/>
      </c>
      <c r="J20" s="35" t="str">
        <f aca="false">IFERROR(IF(OR(D20="",H20=""),"",H20-D20),"")</f>
        <v/>
      </c>
      <c r="K20" s="27" t="str">
        <f aca="false">IF(AND(I20="",J20=""),"",IF(OR(AND(I20&lt;&gt;"",ABS(I20)&gt;TolV_pct),AND(J20&lt;&gt;"",ABS(J20)&gt;TolAngle_deg)),"FAIL","PASS"))</f>
        <v/>
      </c>
      <c r="L20" s="29"/>
    </row>
    <row r="21" customFormat="false" ht="18" hidden="false" customHeight="true" outlineLevel="0" collapsed="false">
      <c r="B21" s="24" t="n">
        <v>3</v>
      </c>
      <c r="C21" s="30" t="n">
        <v>60</v>
      </c>
      <c r="D21" s="12" t="n">
        <v>0</v>
      </c>
      <c r="E21" s="26" t="s">
        <v>137</v>
      </c>
      <c r="F21" s="31" t="n">
        <f aca="false">IFERROR(C21*Ratio_VTuo,"")</f>
        <v>6000</v>
      </c>
      <c r="G21" s="32"/>
      <c r="H21" s="12"/>
      <c r="I21" s="31" t="str">
        <f aca="false">IFERROR(IF(OR(F21="",G21=""),"",(G21-F21)/F21*100),"")</f>
        <v/>
      </c>
      <c r="J21" s="31" t="str">
        <f aca="false">IFERROR(IF(OR(D21="",H21=""),"",H21-D21),"")</f>
        <v/>
      </c>
      <c r="K21" s="24" t="str">
        <f aca="false">IF(AND(I21="",J21=""),"",IF(OR(AND(I21&lt;&gt;"",ABS(I21)&gt;TolV_pct),AND(J21&lt;&gt;"",ABS(J21)&gt;TolAngle_deg)),"FAIL","PASS"))</f>
        <v/>
      </c>
      <c r="L21" s="26"/>
    </row>
    <row r="22" customFormat="false" ht="18" hidden="false" customHeight="true" outlineLevel="0" collapsed="false">
      <c r="B22" s="27" t="n">
        <v>4</v>
      </c>
      <c r="C22" s="33" t="n">
        <v>100</v>
      </c>
      <c r="D22" s="34" t="n">
        <v>0</v>
      </c>
      <c r="E22" s="29" t="s">
        <v>137</v>
      </c>
      <c r="F22" s="35" t="n">
        <f aca="false">IFERROR(C22*Ratio_VTuo,"")</f>
        <v>10000</v>
      </c>
      <c r="G22" s="36"/>
      <c r="H22" s="34"/>
      <c r="I22" s="35" t="str">
        <f aca="false">IFERROR(IF(OR(F22="",G22=""),"",(G22-F22)/F22*100),"")</f>
        <v/>
      </c>
      <c r="J22" s="35" t="str">
        <f aca="false">IFERROR(IF(OR(D22="",H22=""),"",H22-D22),"")</f>
        <v/>
      </c>
      <c r="K22" s="27" t="str">
        <f aca="false">IF(AND(I22="",J22=""),"",IF(OR(AND(I22&lt;&gt;"",ABS(I22)&gt;TolV_pct),AND(J22&lt;&gt;"",ABS(J22)&gt;TolAngle_deg)),"FAIL","PASS"))</f>
        <v/>
      </c>
      <c r="L22" s="29"/>
    </row>
  </sheetData>
  <mergeCells count="5">
    <mergeCell ref="B2:L2"/>
    <mergeCell ref="B3:L3"/>
    <mergeCell ref="B4:L4"/>
    <mergeCell ref="B5:L5"/>
    <mergeCell ref="B17:L17"/>
  </mergeCells>
  <conditionalFormatting sqref="K7:K1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K19:K22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22.05" hidden="false" customHeight="false" outlineLevel="0" collapsed="false">
      <c r="B2" s="1" t="s">
        <v>138</v>
      </c>
      <c r="C2" s="1"/>
      <c r="D2" s="1"/>
      <c r="E2" s="1"/>
      <c r="F2" s="1"/>
      <c r="G2" s="1"/>
      <c r="H2" s="1"/>
      <c r="I2" s="1"/>
    </row>
    <row r="4" customFormat="false" ht="21.75" hidden="false" customHeight="true" outlineLevel="0" collapsed="false">
      <c r="B4" s="3" t="s">
        <v>139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22" t="s">
        <v>140</v>
      </c>
      <c r="C5" s="22"/>
      <c r="D5" s="22"/>
      <c r="E5" s="22"/>
      <c r="F5" s="22"/>
      <c r="G5" s="22"/>
      <c r="H5" s="22"/>
      <c r="I5" s="22"/>
    </row>
    <row r="6" customFormat="false" ht="24" hidden="false" customHeight="true" outlineLevel="0" collapsed="false">
      <c r="B6" s="10" t="s">
        <v>141</v>
      </c>
      <c r="C6" s="10" t="s">
        <v>142</v>
      </c>
      <c r="D6" s="10" t="s">
        <v>143</v>
      </c>
      <c r="E6" s="10" t="s">
        <v>144</v>
      </c>
      <c r="F6" s="10" t="s">
        <v>145</v>
      </c>
      <c r="G6" s="10" t="s">
        <v>81</v>
      </c>
      <c r="H6" s="10" t="s">
        <v>63</v>
      </c>
      <c r="I6" s="10" t="s">
        <v>83</v>
      </c>
    </row>
    <row r="7" customFormat="false" ht="15" hidden="false" customHeight="false" outlineLevel="0" collapsed="false">
      <c r="B7" s="26" t="s">
        <v>146</v>
      </c>
      <c r="C7" s="26" t="s">
        <v>147</v>
      </c>
      <c r="D7" s="12"/>
      <c r="E7" s="26"/>
      <c r="F7" s="26"/>
      <c r="G7" s="26"/>
      <c r="H7" s="26"/>
      <c r="I7" s="26"/>
    </row>
    <row r="8" customFormat="false" ht="15" hidden="false" customHeight="false" outlineLevel="0" collapsed="false">
      <c r="B8" s="29" t="s">
        <v>148</v>
      </c>
      <c r="C8" s="29" t="s">
        <v>149</v>
      </c>
      <c r="D8" s="34"/>
      <c r="E8" s="29"/>
      <c r="F8" s="29"/>
      <c r="G8" s="29"/>
      <c r="H8" s="29"/>
      <c r="I8" s="29"/>
    </row>
    <row r="9" customFormat="false" ht="15" hidden="false" customHeight="false" outlineLevel="0" collapsed="false">
      <c r="B9" s="26" t="s">
        <v>150</v>
      </c>
      <c r="C9" s="26" t="s">
        <v>151</v>
      </c>
      <c r="D9" s="12"/>
      <c r="E9" s="26"/>
      <c r="F9" s="26"/>
      <c r="G9" s="26"/>
      <c r="H9" s="26"/>
      <c r="I9" s="26"/>
    </row>
    <row r="10" customFormat="false" ht="15" hidden="false" customHeight="false" outlineLevel="0" collapsed="false">
      <c r="B10" s="29" t="s">
        <v>152</v>
      </c>
      <c r="C10" s="29" t="s">
        <v>153</v>
      </c>
      <c r="D10" s="34"/>
      <c r="E10" s="29"/>
      <c r="F10" s="29"/>
      <c r="G10" s="29"/>
      <c r="H10" s="29"/>
      <c r="I10" s="29"/>
    </row>
    <row r="11" customFormat="false" ht="15" hidden="false" customHeight="false" outlineLevel="0" collapsed="false">
      <c r="B11" s="26" t="s">
        <v>154</v>
      </c>
      <c r="C11" s="26"/>
      <c r="D11" s="12"/>
      <c r="E11" s="26"/>
      <c r="F11" s="26"/>
      <c r="G11" s="26"/>
      <c r="H11" s="26"/>
      <c r="I11" s="26"/>
    </row>
    <row r="12" customFormat="false" ht="15" hidden="false" customHeight="false" outlineLevel="0" collapsed="false">
      <c r="B12" s="29" t="s">
        <v>155</v>
      </c>
      <c r="C12" s="29"/>
      <c r="D12" s="34"/>
      <c r="E12" s="29"/>
      <c r="F12" s="29"/>
      <c r="G12" s="29"/>
      <c r="H12" s="29"/>
      <c r="I12" s="29"/>
    </row>
    <row r="13" customFormat="false" ht="15" hidden="false" customHeight="false" outlineLevel="0" collapsed="false">
      <c r="B13" s="26" t="s">
        <v>156</v>
      </c>
      <c r="C13" s="26"/>
      <c r="D13" s="12"/>
      <c r="E13" s="26"/>
      <c r="F13" s="26"/>
      <c r="G13" s="26"/>
      <c r="H13" s="26"/>
      <c r="I13" s="26"/>
    </row>
    <row r="14" customFormat="false" ht="15" hidden="false" customHeight="false" outlineLevel="0" collapsed="false">
      <c r="B14" s="29" t="s">
        <v>157</v>
      </c>
      <c r="C14" s="29"/>
      <c r="D14" s="34"/>
      <c r="E14" s="29"/>
      <c r="F14" s="29"/>
      <c r="G14" s="29"/>
      <c r="H14" s="29"/>
      <c r="I14" s="29"/>
    </row>
    <row r="15" customFormat="false" ht="15" hidden="false" customHeight="false" outlineLevel="0" collapsed="false">
      <c r="B15" s="26"/>
      <c r="C15" s="26"/>
      <c r="D15" s="12"/>
      <c r="E15" s="26"/>
      <c r="F15" s="26"/>
      <c r="G15" s="26"/>
      <c r="H15" s="26"/>
      <c r="I15" s="26"/>
    </row>
    <row r="16" customFormat="false" ht="15" hidden="false" customHeight="false" outlineLevel="0" collapsed="false">
      <c r="B16" s="29"/>
      <c r="C16" s="29"/>
      <c r="D16" s="34"/>
      <c r="E16" s="29"/>
      <c r="F16" s="29"/>
      <c r="G16" s="29"/>
      <c r="H16" s="29"/>
      <c r="I16" s="29"/>
    </row>
    <row r="18" customFormat="false" ht="21.75" hidden="false" customHeight="true" outlineLevel="0" collapsed="false">
      <c r="B18" s="3" t="s">
        <v>158</v>
      </c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B19" s="22" t="s">
        <v>159</v>
      </c>
      <c r="C19" s="22"/>
      <c r="D19" s="22"/>
      <c r="E19" s="22"/>
      <c r="F19" s="22"/>
      <c r="G19" s="22"/>
      <c r="H19" s="22"/>
      <c r="I19" s="22"/>
    </row>
    <row r="20" customFormat="false" ht="24" hidden="false" customHeight="true" outlineLevel="0" collapsed="false">
      <c r="B20" s="10" t="s">
        <v>160</v>
      </c>
      <c r="C20" s="10" t="s">
        <v>161</v>
      </c>
      <c r="D20" s="10" t="s">
        <v>162</v>
      </c>
      <c r="E20" s="10" t="s">
        <v>163</v>
      </c>
      <c r="F20" s="10" t="s">
        <v>164</v>
      </c>
      <c r="G20" s="10" t="s">
        <v>81</v>
      </c>
      <c r="H20" s="10" t="s">
        <v>63</v>
      </c>
      <c r="I20" s="10" t="s">
        <v>83</v>
      </c>
    </row>
    <row r="21" customFormat="false" ht="15" hidden="false" customHeight="false" outlineLevel="0" collapsed="false">
      <c r="B21" s="26" t="s">
        <v>165</v>
      </c>
      <c r="C21" s="26" t="s">
        <v>166</v>
      </c>
      <c r="D21" s="26" t="s">
        <v>167</v>
      </c>
      <c r="E21" s="26"/>
      <c r="F21" s="26"/>
      <c r="G21" s="26"/>
      <c r="H21" s="26"/>
      <c r="I21" s="26"/>
    </row>
    <row r="22" customFormat="false" ht="15" hidden="false" customHeight="false" outlineLevel="0" collapsed="false">
      <c r="B22" s="29" t="s">
        <v>168</v>
      </c>
      <c r="C22" s="29" t="s">
        <v>169</v>
      </c>
      <c r="D22" s="29" t="s">
        <v>167</v>
      </c>
      <c r="E22" s="29"/>
      <c r="F22" s="29"/>
      <c r="G22" s="29"/>
      <c r="H22" s="29"/>
      <c r="I22" s="29"/>
    </row>
    <row r="23" customFormat="false" ht="15" hidden="false" customHeight="false" outlineLevel="0" collapsed="false">
      <c r="B23" s="26" t="s">
        <v>170</v>
      </c>
      <c r="C23" s="26" t="s">
        <v>171</v>
      </c>
      <c r="D23" s="26" t="s">
        <v>167</v>
      </c>
      <c r="E23" s="26"/>
      <c r="F23" s="26"/>
      <c r="G23" s="26"/>
      <c r="H23" s="26"/>
      <c r="I23" s="26"/>
    </row>
    <row r="24" customFormat="false" ht="15" hidden="false" customHeight="false" outlineLevel="0" collapsed="false">
      <c r="B24" s="29" t="s">
        <v>172</v>
      </c>
      <c r="C24" s="29"/>
      <c r="D24" s="29" t="s">
        <v>167</v>
      </c>
      <c r="E24" s="29"/>
      <c r="F24" s="29"/>
      <c r="G24" s="29"/>
      <c r="H24" s="29"/>
      <c r="I24" s="29"/>
    </row>
    <row r="25" customFormat="false" ht="15" hidden="false" customHeight="false" outlineLevel="0" collapsed="false">
      <c r="B25" s="26" t="s">
        <v>173</v>
      </c>
      <c r="C25" s="26"/>
      <c r="D25" s="26" t="s">
        <v>167</v>
      </c>
      <c r="E25" s="26"/>
      <c r="F25" s="26"/>
      <c r="G25" s="26"/>
      <c r="H25" s="26"/>
      <c r="I25" s="26"/>
    </row>
    <row r="26" customFormat="false" ht="15" hidden="false" customHeight="false" outlineLevel="0" collapsed="false">
      <c r="B26" s="29" t="s">
        <v>174</v>
      </c>
      <c r="C26" s="29"/>
      <c r="D26" s="29" t="s">
        <v>167</v>
      </c>
      <c r="E26" s="29"/>
      <c r="F26" s="29"/>
      <c r="G26" s="29"/>
      <c r="H26" s="29"/>
      <c r="I26" s="29"/>
    </row>
    <row r="27" customFormat="false" ht="15" hidden="false" customHeight="false" outlineLevel="0" collapsed="false">
      <c r="B27" s="26"/>
      <c r="C27" s="26"/>
      <c r="D27" s="26" t="s">
        <v>167</v>
      </c>
      <c r="E27" s="26"/>
      <c r="F27" s="26"/>
      <c r="G27" s="26"/>
      <c r="H27" s="26"/>
      <c r="I27" s="26"/>
    </row>
    <row r="28" customFormat="false" ht="15" hidden="false" customHeight="false" outlineLevel="0" collapsed="false">
      <c r="B28" s="29"/>
      <c r="C28" s="29"/>
      <c r="D28" s="29" t="s">
        <v>167</v>
      </c>
      <c r="E28" s="29"/>
      <c r="F28" s="29"/>
      <c r="G28" s="29"/>
      <c r="H28" s="29"/>
      <c r="I28" s="29"/>
    </row>
    <row r="29" customFormat="false" ht="15" hidden="false" customHeight="false" outlineLevel="0" collapsed="false">
      <c r="B29" s="26"/>
      <c r="C29" s="26"/>
      <c r="D29" s="26" t="s">
        <v>167</v>
      </c>
      <c r="E29" s="26"/>
      <c r="F29" s="26"/>
      <c r="G29" s="26"/>
      <c r="H29" s="26"/>
      <c r="I29" s="26"/>
    </row>
    <row r="30" customFormat="false" ht="15" hidden="false" customHeight="false" outlineLevel="0" collapsed="false">
      <c r="B30" s="29"/>
      <c r="C30" s="29"/>
      <c r="D30" s="29" t="s">
        <v>167</v>
      </c>
      <c r="E30" s="29"/>
      <c r="F30" s="29"/>
      <c r="G30" s="29"/>
      <c r="H30" s="29"/>
      <c r="I30" s="29"/>
    </row>
  </sheetData>
  <mergeCells count="5">
    <mergeCell ref="B2:I2"/>
    <mergeCell ref="B4:I4"/>
    <mergeCell ref="B5:I5"/>
    <mergeCell ref="B18:I18"/>
    <mergeCell ref="B19:I19"/>
  </mergeCells>
  <conditionalFormatting sqref="G7:G1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G21:G30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dataValidations count="2">
    <dataValidation allowBlank="true" errorStyle="stop" operator="between" showDropDown="false" showErrorMessage="false" showInputMessage="false" sqref="E7:F16 E21:F30" type="list">
      <formula1>"Y,N,N/A"</formula1>
      <formula2>0</formula2>
    </dataValidation>
    <dataValidation allowBlank="true" errorStyle="stop" operator="between" showDropDown="false" showErrorMessage="false" showInputMessage="false" sqref="G7:G16 G21:G30" type="list">
      <formula1>"PASS,FAIL,N/A"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4"/>
  </cols>
  <sheetData>
    <row r="2" customFormat="false" ht="22.05" hidden="false" customHeight="false" outlineLevel="0" collapsed="false">
      <c r="B2" s="1" t="s">
        <v>175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176</v>
      </c>
      <c r="C3" s="2"/>
      <c r="D3" s="2"/>
      <c r="E3" s="2"/>
      <c r="F3" s="2"/>
      <c r="G3" s="2"/>
      <c r="H3" s="2"/>
    </row>
    <row r="5" customFormat="false" ht="30" hidden="false" customHeight="true" outlineLevel="0" collapsed="false">
      <c r="B5" s="10" t="s">
        <v>177</v>
      </c>
      <c r="C5" s="10" t="s">
        <v>178</v>
      </c>
      <c r="D5" s="10" t="s">
        <v>179</v>
      </c>
      <c r="E5" s="10" t="s">
        <v>180</v>
      </c>
      <c r="F5" s="10" t="s">
        <v>181</v>
      </c>
      <c r="G5" s="10" t="s">
        <v>182</v>
      </c>
      <c r="H5" s="10" t="s">
        <v>183</v>
      </c>
    </row>
    <row r="6" customFormat="false" ht="15" hidden="false" customHeight="false" outlineLevel="0" collapsed="false">
      <c r="B6" s="26" t="s">
        <v>184</v>
      </c>
      <c r="C6" s="26" t="s">
        <v>185</v>
      </c>
      <c r="D6" s="9" t="s">
        <v>186</v>
      </c>
      <c r="E6" s="26"/>
      <c r="F6" s="37"/>
      <c r="G6" s="26"/>
      <c r="H6" s="26"/>
    </row>
    <row r="7" customFormat="false" ht="15" hidden="false" customHeight="false" outlineLevel="0" collapsed="false">
      <c r="B7" s="29" t="s">
        <v>187</v>
      </c>
      <c r="C7" s="29" t="s">
        <v>188</v>
      </c>
      <c r="D7" s="19" t="s">
        <v>189</v>
      </c>
      <c r="E7" s="29"/>
      <c r="F7" s="38"/>
      <c r="G7" s="29"/>
      <c r="H7" s="29"/>
    </row>
    <row r="8" customFormat="false" ht="15" hidden="false" customHeight="false" outlineLevel="0" collapsed="false">
      <c r="B8" s="26" t="s">
        <v>190</v>
      </c>
      <c r="C8" s="26" t="s">
        <v>191</v>
      </c>
      <c r="D8" s="9" t="s">
        <v>192</v>
      </c>
      <c r="E8" s="26"/>
      <c r="F8" s="37"/>
      <c r="G8" s="26"/>
      <c r="H8" s="26"/>
    </row>
    <row r="9" customFormat="false" ht="20.85" hidden="false" customHeight="false" outlineLevel="0" collapsed="false">
      <c r="B9" s="29" t="s">
        <v>193</v>
      </c>
      <c r="C9" s="29" t="s">
        <v>194</v>
      </c>
      <c r="D9" s="19" t="s">
        <v>195</v>
      </c>
      <c r="E9" s="29"/>
      <c r="F9" s="38"/>
      <c r="G9" s="29"/>
      <c r="H9" s="29"/>
    </row>
    <row r="10" customFormat="false" ht="15" hidden="false" customHeight="false" outlineLevel="0" collapsed="false">
      <c r="B10" s="26" t="s">
        <v>196</v>
      </c>
      <c r="C10" s="26" t="s">
        <v>194</v>
      </c>
      <c r="D10" s="9" t="s">
        <v>197</v>
      </c>
      <c r="E10" s="26"/>
      <c r="F10" s="37"/>
      <c r="G10" s="26"/>
      <c r="H10" s="26"/>
    </row>
    <row r="11" customFormat="false" ht="15" hidden="false" customHeight="false" outlineLevel="0" collapsed="false">
      <c r="B11" s="29" t="s">
        <v>198</v>
      </c>
      <c r="C11" s="29" t="s">
        <v>194</v>
      </c>
      <c r="D11" s="19" t="s">
        <v>199</v>
      </c>
      <c r="E11" s="29"/>
      <c r="F11" s="38"/>
      <c r="G11" s="29"/>
      <c r="H11" s="29"/>
    </row>
    <row r="12" customFormat="false" ht="15" hidden="false" customHeight="false" outlineLevel="0" collapsed="false">
      <c r="B12" s="26" t="s">
        <v>200</v>
      </c>
      <c r="C12" s="26" t="s">
        <v>201</v>
      </c>
      <c r="D12" s="9" t="s">
        <v>202</v>
      </c>
      <c r="E12" s="26"/>
      <c r="F12" s="37"/>
      <c r="G12" s="26"/>
      <c r="H12" s="26"/>
    </row>
    <row r="13" customFormat="false" ht="15" hidden="false" customHeight="false" outlineLevel="0" collapsed="false">
      <c r="B13" s="29" t="s">
        <v>203</v>
      </c>
      <c r="C13" s="29" t="s">
        <v>204</v>
      </c>
      <c r="D13" s="19" t="s">
        <v>205</v>
      </c>
      <c r="E13" s="29"/>
      <c r="F13" s="38"/>
      <c r="G13" s="29"/>
      <c r="H13" s="29"/>
    </row>
    <row r="14" customFormat="false" ht="15" hidden="false" customHeight="false" outlineLevel="0" collapsed="false">
      <c r="B14" s="26" t="s">
        <v>206</v>
      </c>
      <c r="C14" s="26" t="s">
        <v>204</v>
      </c>
      <c r="D14" s="9" t="s">
        <v>207</v>
      </c>
      <c r="E14" s="26"/>
      <c r="F14" s="37"/>
      <c r="G14" s="26"/>
      <c r="H14" s="26"/>
    </row>
    <row r="15" customFormat="false" ht="15" hidden="false" customHeight="false" outlineLevel="0" collapsed="false">
      <c r="B15" s="29" t="s">
        <v>208</v>
      </c>
      <c r="C15" s="29" t="s">
        <v>204</v>
      </c>
      <c r="D15" s="19" t="s">
        <v>209</v>
      </c>
      <c r="E15" s="29"/>
      <c r="F15" s="38"/>
      <c r="G15" s="29"/>
      <c r="H15" s="29"/>
    </row>
    <row r="16" customFormat="false" ht="15" hidden="false" customHeight="false" outlineLevel="0" collapsed="false">
      <c r="B16" s="26" t="s">
        <v>210</v>
      </c>
      <c r="C16" s="26" t="s">
        <v>211</v>
      </c>
      <c r="D16" s="9" t="s">
        <v>212</v>
      </c>
      <c r="E16" s="26"/>
      <c r="F16" s="37"/>
      <c r="G16" s="26"/>
      <c r="H16" s="26"/>
    </row>
    <row r="17" customFormat="false" ht="15" hidden="false" customHeight="false" outlineLevel="0" collapsed="false">
      <c r="B17" s="29" t="s">
        <v>213</v>
      </c>
      <c r="C17" s="29" t="s">
        <v>214</v>
      </c>
      <c r="D17" s="19" t="s">
        <v>215</v>
      </c>
      <c r="E17" s="29"/>
      <c r="F17" s="38"/>
      <c r="G17" s="29"/>
      <c r="H17" s="29"/>
    </row>
    <row r="18" customFormat="false" ht="15" hidden="false" customHeight="false" outlineLevel="0" collapsed="false">
      <c r="B18" s="26" t="s">
        <v>216</v>
      </c>
      <c r="C18" s="26" t="s">
        <v>217</v>
      </c>
      <c r="D18" s="9" t="s">
        <v>218</v>
      </c>
      <c r="E18" s="26"/>
      <c r="F18" s="37"/>
      <c r="G18" s="26"/>
      <c r="H18" s="26"/>
    </row>
  </sheetData>
  <mergeCells count="2">
    <mergeCell ref="B2:H2"/>
    <mergeCell ref="B3:H3"/>
  </mergeCells>
  <conditionalFormatting sqref="H6:H1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2">
    <dataValidation allowBlank="true" errorStyle="stop" operator="between" showDropDown="false" showErrorMessage="false" showInputMessage="false" sqref="E6:E18 G6:G18" type="list">
      <formula1>"Y,N"</formula1>
      <formula2>0</formula2>
    </dataValidation>
    <dataValidation allowBlank="true" errorStyle="stop" operator="between" showDropDown="false" showErrorMessage="false" showInputMessage="false" sqref="H6:H18" type="list">
      <formula1>"PASS,FAIL,N/A,Not tested"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11" min="6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2" customFormat="false" ht="22.05" hidden="false" customHeight="false" outlineLevel="0" collapsed="false">
      <c r="B2" s="1" t="s">
        <v>219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220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30" hidden="false" customHeight="true" outlineLevel="0" collapsed="false">
      <c r="B5" s="10" t="s">
        <v>79</v>
      </c>
      <c r="C5" s="10" t="s">
        <v>177</v>
      </c>
      <c r="D5" s="10" t="s">
        <v>221</v>
      </c>
      <c r="E5" s="10" t="s">
        <v>222</v>
      </c>
      <c r="F5" s="10" t="s">
        <v>223</v>
      </c>
      <c r="G5" s="10" t="s">
        <v>224</v>
      </c>
      <c r="H5" s="10" t="s">
        <v>225</v>
      </c>
      <c r="I5" s="10" t="s">
        <v>226</v>
      </c>
      <c r="J5" s="10" t="s">
        <v>227</v>
      </c>
      <c r="K5" s="10" t="s">
        <v>228</v>
      </c>
      <c r="L5" s="10" t="s">
        <v>183</v>
      </c>
      <c r="M5" s="10" t="s">
        <v>63</v>
      </c>
    </row>
    <row r="6" customFormat="false" ht="15" hidden="false" customHeight="false" outlineLevel="0" collapsed="false">
      <c r="B6" s="24" t="n">
        <v>1</v>
      </c>
      <c r="C6" s="9"/>
      <c r="D6" s="9"/>
      <c r="E6" s="9"/>
      <c r="F6" s="30"/>
      <c r="G6" s="30"/>
      <c r="H6" s="31" t="str">
        <f aca="false">IFERROR(IF(OR(F6="",G6=""),"",(G6-F6)/F6*100),"")</f>
        <v/>
      </c>
      <c r="I6" s="30"/>
      <c r="J6" s="30"/>
      <c r="K6" s="31" t="str">
        <f aca="false">IFERROR(IF(OR(I6="",J6=""),"",(J6-I6)/I6*100),"")</f>
        <v/>
      </c>
      <c r="L6" s="24" t="str">
        <f aca="false">IF(AND(H6="",K6=""),"",IF(OR(AND(H6&lt;&gt;"",ABS(H6)&gt;TolPickup_pct),AND(K6&lt;&gt;"",ABS(K6)&gt;TolTime_pct)),"FAIL","PASS"))</f>
        <v/>
      </c>
      <c r="M6" s="9"/>
    </row>
    <row r="7" customFormat="false" ht="15" hidden="false" customHeight="false" outlineLevel="0" collapsed="false">
      <c r="B7" s="27" t="n">
        <v>2</v>
      </c>
      <c r="C7" s="19"/>
      <c r="D7" s="19"/>
      <c r="E7" s="19"/>
      <c r="F7" s="33"/>
      <c r="G7" s="33"/>
      <c r="H7" s="35" t="str">
        <f aca="false">IFERROR(IF(OR(F7="",G7=""),"",(G7-F7)/F7*100),"")</f>
        <v/>
      </c>
      <c r="I7" s="33"/>
      <c r="J7" s="33"/>
      <c r="K7" s="35" t="str">
        <f aca="false">IFERROR(IF(OR(I7="",J7=""),"",(J7-I7)/I7*100),"")</f>
        <v/>
      </c>
      <c r="L7" s="27" t="str">
        <f aca="false">IF(AND(H7="",K7=""),"",IF(OR(AND(H7&lt;&gt;"",ABS(H7)&gt;TolPickup_pct),AND(K7&lt;&gt;"",ABS(K7)&gt;TolTime_pct)),"FAIL","PASS"))</f>
        <v/>
      </c>
      <c r="M7" s="19"/>
    </row>
    <row r="8" customFormat="false" ht="15" hidden="false" customHeight="false" outlineLevel="0" collapsed="false">
      <c r="B8" s="24" t="n">
        <v>3</v>
      </c>
      <c r="C8" s="9"/>
      <c r="D8" s="9"/>
      <c r="E8" s="9"/>
      <c r="F8" s="30"/>
      <c r="G8" s="30"/>
      <c r="H8" s="31" t="str">
        <f aca="false">IFERROR(IF(OR(F8="",G8=""),"",(G8-F8)/F8*100),"")</f>
        <v/>
      </c>
      <c r="I8" s="30"/>
      <c r="J8" s="30"/>
      <c r="K8" s="31" t="str">
        <f aca="false">IFERROR(IF(OR(I8="",J8=""),"",(J8-I8)/I8*100),"")</f>
        <v/>
      </c>
      <c r="L8" s="24" t="str">
        <f aca="false">IF(AND(H8="",K8=""),"",IF(OR(AND(H8&lt;&gt;"",ABS(H8)&gt;TolPickup_pct),AND(K8&lt;&gt;"",ABS(K8)&gt;TolTime_pct)),"FAIL","PASS"))</f>
        <v/>
      </c>
      <c r="M8" s="9"/>
    </row>
    <row r="9" customFormat="false" ht="15" hidden="false" customHeight="false" outlineLevel="0" collapsed="false">
      <c r="B9" s="27" t="n">
        <v>4</v>
      </c>
      <c r="C9" s="19"/>
      <c r="D9" s="19"/>
      <c r="E9" s="19"/>
      <c r="F9" s="33"/>
      <c r="G9" s="33"/>
      <c r="H9" s="35" t="str">
        <f aca="false">IFERROR(IF(OR(F9="",G9=""),"",(G9-F9)/F9*100),"")</f>
        <v/>
      </c>
      <c r="I9" s="33"/>
      <c r="J9" s="33"/>
      <c r="K9" s="35" t="str">
        <f aca="false">IFERROR(IF(OR(I9="",J9=""),"",(J9-I9)/I9*100),"")</f>
        <v/>
      </c>
      <c r="L9" s="27" t="str">
        <f aca="false">IF(AND(H9="",K9=""),"",IF(OR(AND(H9&lt;&gt;"",ABS(H9)&gt;TolPickup_pct),AND(K9&lt;&gt;"",ABS(K9)&gt;TolTime_pct)),"FAIL","PASS"))</f>
        <v/>
      </c>
      <c r="M9" s="19"/>
    </row>
    <row r="10" customFormat="false" ht="15" hidden="false" customHeight="false" outlineLevel="0" collapsed="false">
      <c r="B10" s="24" t="n">
        <v>5</v>
      </c>
      <c r="C10" s="9"/>
      <c r="D10" s="9"/>
      <c r="E10" s="9"/>
      <c r="F10" s="30"/>
      <c r="G10" s="30"/>
      <c r="H10" s="31" t="str">
        <f aca="false">IFERROR(IF(OR(F10="",G10=""),"",(G10-F10)/F10*100),"")</f>
        <v/>
      </c>
      <c r="I10" s="30"/>
      <c r="J10" s="30"/>
      <c r="K10" s="31" t="str">
        <f aca="false">IFERROR(IF(OR(I10="",J10=""),"",(J10-I10)/I10*100),"")</f>
        <v/>
      </c>
      <c r="L10" s="24" t="str">
        <f aca="false">IF(AND(H10="",K10=""),"",IF(OR(AND(H10&lt;&gt;"",ABS(H10)&gt;TolPickup_pct),AND(K10&lt;&gt;"",ABS(K10)&gt;TolTime_pct)),"FAIL","PASS"))</f>
        <v/>
      </c>
      <c r="M10" s="9"/>
    </row>
    <row r="11" customFormat="false" ht="15" hidden="false" customHeight="false" outlineLevel="0" collapsed="false">
      <c r="B11" s="27" t="n">
        <v>6</v>
      </c>
      <c r="C11" s="19"/>
      <c r="D11" s="19"/>
      <c r="E11" s="19"/>
      <c r="F11" s="33"/>
      <c r="G11" s="33"/>
      <c r="H11" s="35" t="str">
        <f aca="false">IFERROR(IF(OR(F11="",G11=""),"",(G11-F11)/F11*100),"")</f>
        <v/>
      </c>
      <c r="I11" s="33"/>
      <c r="J11" s="33"/>
      <c r="K11" s="35" t="str">
        <f aca="false">IFERROR(IF(OR(I11="",J11=""),"",(J11-I11)/I11*100),"")</f>
        <v/>
      </c>
      <c r="L11" s="27" t="str">
        <f aca="false">IF(AND(H11="",K11=""),"",IF(OR(AND(H11&lt;&gt;"",ABS(H11)&gt;TolPickup_pct),AND(K11&lt;&gt;"",ABS(K11)&gt;TolTime_pct)),"FAIL","PASS"))</f>
        <v/>
      </c>
      <c r="M11" s="19"/>
    </row>
    <row r="12" customFormat="false" ht="15" hidden="false" customHeight="false" outlineLevel="0" collapsed="false">
      <c r="B12" s="24" t="n">
        <v>7</v>
      </c>
      <c r="C12" s="9"/>
      <c r="D12" s="9"/>
      <c r="E12" s="9"/>
      <c r="F12" s="30"/>
      <c r="G12" s="30"/>
      <c r="H12" s="31" t="str">
        <f aca="false">IFERROR(IF(OR(F12="",G12=""),"",(G12-F12)/F12*100),"")</f>
        <v/>
      </c>
      <c r="I12" s="30"/>
      <c r="J12" s="30"/>
      <c r="K12" s="31" t="str">
        <f aca="false">IFERROR(IF(OR(I12="",J12=""),"",(J12-I12)/I12*100),"")</f>
        <v/>
      </c>
      <c r="L12" s="24" t="str">
        <f aca="false">IF(AND(H12="",K12=""),"",IF(OR(AND(H12&lt;&gt;"",ABS(H12)&gt;TolPickup_pct),AND(K12&lt;&gt;"",ABS(K12)&gt;TolTime_pct)),"FAIL","PASS"))</f>
        <v/>
      </c>
      <c r="M12" s="9"/>
    </row>
    <row r="13" customFormat="false" ht="15" hidden="false" customHeight="false" outlineLevel="0" collapsed="false">
      <c r="B13" s="27" t="n">
        <v>8</v>
      </c>
      <c r="C13" s="19"/>
      <c r="D13" s="19"/>
      <c r="E13" s="19"/>
      <c r="F13" s="33"/>
      <c r="G13" s="33"/>
      <c r="H13" s="35" t="str">
        <f aca="false">IFERROR(IF(OR(F13="",G13=""),"",(G13-F13)/F13*100),"")</f>
        <v/>
      </c>
      <c r="I13" s="33"/>
      <c r="J13" s="33"/>
      <c r="K13" s="35" t="str">
        <f aca="false">IFERROR(IF(OR(I13="",J13=""),"",(J13-I13)/I13*100),"")</f>
        <v/>
      </c>
      <c r="L13" s="27" t="str">
        <f aca="false">IF(AND(H13="",K13=""),"",IF(OR(AND(H13&lt;&gt;"",ABS(H13)&gt;TolPickup_pct),AND(K13&lt;&gt;"",ABS(K13)&gt;TolTime_pct)),"FAIL","PASS"))</f>
        <v/>
      </c>
      <c r="M13" s="19"/>
    </row>
    <row r="14" customFormat="false" ht="15" hidden="false" customHeight="false" outlineLevel="0" collapsed="false">
      <c r="B14" s="24" t="n">
        <v>9</v>
      </c>
      <c r="C14" s="9"/>
      <c r="D14" s="9"/>
      <c r="E14" s="9"/>
      <c r="F14" s="30"/>
      <c r="G14" s="30"/>
      <c r="H14" s="31" t="str">
        <f aca="false">IFERROR(IF(OR(F14="",G14=""),"",(G14-F14)/F14*100),"")</f>
        <v/>
      </c>
      <c r="I14" s="30"/>
      <c r="J14" s="30"/>
      <c r="K14" s="31" t="str">
        <f aca="false">IFERROR(IF(OR(I14="",J14=""),"",(J14-I14)/I14*100),"")</f>
        <v/>
      </c>
      <c r="L14" s="24" t="str">
        <f aca="false">IF(AND(H14="",K14=""),"",IF(OR(AND(H14&lt;&gt;"",ABS(H14)&gt;TolPickup_pct),AND(K14&lt;&gt;"",ABS(K14)&gt;TolTime_pct)),"FAIL","PASS"))</f>
        <v/>
      </c>
      <c r="M14" s="9"/>
    </row>
    <row r="15" customFormat="false" ht="15" hidden="false" customHeight="false" outlineLevel="0" collapsed="false">
      <c r="B15" s="27" t="n">
        <v>10</v>
      </c>
      <c r="C15" s="19"/>
      <c r="D15" s="19"/>
      <c r="E15" s="19"/>
      <c r="F15" s="33"/>
      <c r="G15" s="33"/>
      <c r="H15" s="35" t="str">
        <f aca="false">IFERROR(IF(OR(F15="",G15=""),"",(G15-F15)/F15*100),"")</f>
        <v/>
      </c>
      <c r="I15" s="33"/>
      <c r="J15" s="33"/>
      <c r="K15" s="35" t="str">
        <f aca="false">IFERROR(IF(OR(I15="",J15=""),"",(J15-I15)/I15*100),"")</f>
        <v/>
      </c>
      <c r="L15" s="27" t="str">
        <f aca="false">IF(AND(H15="",K15=""),"",IF(OR(AND(H15&lt;&gt;"",ABS(H15)&gt;TolPickup_pct),AND(K15&lt;&gt;"",ABS(K15)&gt;TolTime_pct)),"FAIL","PASS"))</f>
        <v/>
      </c>
      <c r="M15" s="19"/>
    </row>
    <row r="16" customFormat="false" ht="15" hidden="false" customHeight="false" outlineLevel="0" collapsed="false">
      <c r="B16" s="24" t="n">
        <v>11</v>
      </c>
      <c r="C16" s="9"/>
      <c r="D16" s="9"/>
      <c r="E16" s="9"/>
      <c r="F16" s="30"/>
      <c r="G16" s="30"/>
      <c r="H16" s="31" t="str">
        <f aca="false">IFERROR(IF(OR(F16="",G16=""),"",(G16-F16)/F16*100),"")</f>
        <v/>
      </c>
      <c r="I16" s="30"/>
      <c r="J16" s="30"/>
      <c r="K16" s="31" t="str">
        <f aca="false">IFERROR(IF(OR(I16="",J16=""),"",(J16-I16)/I16*100),"")</f>
        <v/>
      </c>
      <c r="L16" s="24" t="str">
        <f aca="false">IF(AND(H16="",K16=""),"",IF(OR(AND(H16&lt;&gt;"",ABS(H16)&gt;TolPickup_pct),AND(K16&lt;&gt;"",ABS(K16)&gt;TolTime_pct)),"FAIL","PASS"))</f>
        <v/>
      </c>
      <c r="M16" s="9"/>
    </row>
    <row r="17" customFormat="false" ht="15" hidden="false" customHeight="false" outlineLevel="0" collapsed="false">
      <c r="B17" s="27" t="n">
        <v>12</v>
      </c>
      <c r="C17" s="19"/>
      <c r="D17" s="19"/>
      <c r="E17" s="19"/>
      <c r="F17" s="33"/>
      <c r="G17" s="33"/>
      <c r="H17" s="35" t="str">
        <f aca="false">IFERROR(IF(OR(F17="",G17=""),"",(G17-F17)/F17*100),"")</f>
        <v/>
      </c>
      <c r="I17" s="33"/>
      <c r="J17" s="33"/>
      <c r="K17" s="35" t="str">
        <f aca="false">IFERROR(IF(OR(I17="",J17=""),"",(J17-I17)/I17*100),"")</f>
        <v/>
      </c>
      <c r="L17" s="27" t="str">
        <f aca="false">IF(AND(H17="",K17=""),"",IF(OR(AND(H17&lt;&gt;"",ABS(H17)&gt;TolPickup_pct),AND(K17&lt;&gt;"",ABS(K17)&gt;TolTime_pct)),"FAIL","PASS"))</f>
        <v/>
      </c>
      <c r="M17" s="19"/>
    </row>
    <row r="18" customFormat="false" ht="15" hidden="false" customHeight="false" outlineLevel="0" collapsed="false">
      <c r="B18" s="24" t="n">
        <v>13</v>
      </c>
      <c r="C18" s="9"/>
      <c r="D18" s="9"/>
      <c r="E18" s="9"/>
      <c r="F18" s="30"/>
      <c r="G18" s="30"/>
      <c r="H18" s="31" t="str">
        <f aca="false">IFERROR(IF(OR(F18="",G18=""),"",(G18-F18)/F18*100),"")</f>
        <v/>
      </c>
      <c r="I18" s="30"/>
      <c r="J18" s="30"/>
      <c r="K18" s="31" t="str">
        <f aca="false">IFERROR(IF(OR(I18="",J18=""),"",(J18-I18)/I18*100),"")</f>
        <v/>
      </c>
      <c r="L18" s="24" t="str">
        <f aca="false">IF(AND(H18="",K18=""),"",IF(OR(AND(H18&lt;&gt;"",ABS(H18)&gt;TolPickup_pct),AND(K18&lt;&gt;"",ABS(K18)&gt;TolTime_pct)),"FAIL","PASS"))</f>
        <v/>
      </c>
      <c r="M18" s="9"/>
    </row>
    <row r="19" customFormat="false" ht="15" hidden="false" customHeight="false" outlineLevel="0" collapsed="false">
      <c r="B19" s="27" t="n">
        <v>14</v>
      </c>
      <c r="C19" s="19"/>
      <c r="D19" s="19"/>
      <c r="E19" s="19"/>
      <c r="F19" s="33"/>
      <c r="G19" s="33"/>
      <c r="H19" s="35" t="str">
        <f aca="false">IFERROR(IF(OR(F19="",G19=""),"",(G19-F19)/F19*100),"")</f>
        <v/>
      </c>
      <c r="I19" s="33"/>
      <c r="J19" s="33"/>
      <c r="K19" s="35" t="str">
        <f aca="false">IFERROR(IF(OR(I19="",J19=""),"",(J19-I19)/I19*100),"")</f>
        <v/>
      </c>
      <c r="L19" s="27" t="str">
        <f aca="false">IF(AND(H19="",K19=""),"",IF(OR(AND(H19&lt;&gt;"",ABS(H19)&gt;TolPickup_pct),AND(K19&lt;&gt;"",ABS(K19)&gt;TolTime_pct)),"FAIL","PASS"))</f>
        <v/>
      </c>
      <c r="M19" s="19"/>
    </row>
    <row r="20" customFormat="false" ht="15" hidden="false" customHeight="false" outlineLevel="0" collapsed="false">
      <c r="B20" s="24" t="n">
        <v>15</v>
      </c>
      <c r="C20" s="9"/>
      <c r="D20" s="9"/>
      <c r="E20" s="9"/>
      <c r="F20" s="30"/>
      <c r="G20" s="30"/>
      <c r="H20" s="31" t="str">
        <f aca="false">IFERROR(IF(OR(F20="",G20=""),"",(G20-F20)/F20*100),"")</f>
        <v/>
      </c>
      <c r="I20" s="30"/>
      <c r="J20" s="30"/>
      <c r="K20" s="31" t="str">
        <f aca="false">IFERROR(IF(OR(I20="",J20=""),"",(J20-I20)/I20*100),"")</f>
        <v/>
      </c>
      <c r="L20" s="24" t="str">
        <f aca="false">IF(AND(H20="",K20=""),"",IF(OR(AND(H20&lt;&gt;"",ABS(H20)&gt;TolPickup_pct),AND(K20&lt;&gt;"",ABS(K20)&gt;TolTime_pct)),"FAIL","PASS"))</f>
        <v/>
      </c>
      <c r="M20" s="9"/>
    </row>
    <row r="21" customFormat="false" ht="15" hidden="false" customHeight="false" outlineLevel="0" collapsed="false">
      <c r="B21" s="27" t="n">
        <v>16</v>
      </c>
      <c r="C21" s="19"/>
      <c r="D21" s="19"/>
      <c r="E21" s="19"/>
      <c r="F21" s="33"/>
      <c r="G21" s="33"/>
      <c r="H21" s="35" t="str">
        <f aca="false">IFERROR(IF(OR(F21="",G21=""),"",(G21-F21)/F21*100),"")</f>
        <v/>
      </c>
      <c r="I21" s="33"/>
      <c r="J21" s="33"/>
      <c r="K21" s="35" t="str">
        <f aca="false">IFERROR(IF(OR(I21="",J21=""),"",(J21-I21)/I21*100),"")</f>
        <v/>
      </c>
      <c r="L21" s="27" t="str">
        <f aca="false">IF(AND(H21="",K21=""),"",IF(OR(AND(H21&lt;&gt;"",ABS(H21)&gt;TolPickup_pct),AND(K21&lt;&gt;"",ABS(K21)&gt;TolTime_pct)),"FAIL","PASS"))</f>
        <v/>
      </c>
      <c r="M21" s="19"/>
    </row>
  </sheetData>
  <mergeCells count="2">
    <mergeCell ref="B2:M2"/>
    <mergeCell ref="B3:M3"/>
  </mergeCells>
  <conditionalFormatting sqref="L6:L2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65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4"/>
  </cols>
  <sheetData>
    <row r="2" customFormat="false" ht="22.05" hidden="false" customHeight="false" outlineLevel="0" collapsed="false">
      <c r="B2" s="1" t="s">
        <v>229</v>
      </c>
      <c r="C2" s="1"/>
      <c r="D2" s="1"/>
      <c r="E2" s="1"/>
      <c r="F2" s="1"/>
    </row>
    <row r="4" customFormat="false" ht="21.75" hidden="false" customHeight="true" outlineLevel="0" collapsed="false">
      <c r="B4" s="3" t="s">
        <v>230</v>
      </c>
      <c r="C4" s="3"/>
      <c r="D4" s="3"/>
      <c r="E4" s="3"/>
      <c r="F4" s="3"/>
    </row>
    <row r="5" customFormat="false" ht="19.5" hidden="false" customHeight="true" outlineLevel="0" collapsed="false">
      <c r="B5" s="10" t="s">
        <v>79</v>
      </c>
      <c r="C5" s="10" t="s">
        <v>80</v>
      </c>
      <c r="D5" s="10" t="s">
        <v>81</v>
      </c>
      <c r="E5" s="10" t="s">
        <v>82</v>
      </c>
      <c r="F5" s="10" t="s">
        <v>83</v>
      </c>
    </row>
    <row r="6" customFormat="false" ht="19.5" hidden="false" customHeight="true" outlineLevel="0" collapsed="false">
      <c r="B6" s="24" t="n">
        <v>1</v>
      </c>
      <c r="C6" s="25" t="s">
        <v>231</v>
      </c>
      <c r="D6" s="26"/>
      <c r="E6" s="9"/>
      <c r="F6" s="26"/>
    </row>
    <row r="7" customFormat="false" ht="19.5" hidden="false" customHeight="true" outlineLevel="0" collapsed="false">
      <c r="B7" s="27" t="n">
        <v>2</v>
      </c>
      <c r="C7" s="28" t="s">
        <v>232</v>
      </c>
      <c r="D7" s="29"/>
      <c r="E7" s="19"/>
      <c r="F7" s="29"/>
    </row>
    <row r="8" customFormat="false" ht="19.5" hidden="false" customHeight="true" outlineLevel="0" collapsed="false">
      <c r="B8" s="24" t="n">
        <v>3</v>
      </c>
      <c r="C8" s="25" t="s">
        <v>233</v>
      </c>
      <c r="D8" s="26"/>
      <c r="E8" s="9"/>
      <c r="F8" s="26"/>
    </row>
    <row r="9" customFormat="false" ht="19.5" hidden="false" customHeight="true" outlineLevel="0" collapsed="false">
      <c r="B9" s="27" t="n">
        <v>4</v>
      </c>
      <c r="C9" s="28" t="s">
        <v>234</v>
      </c>
      <c r="D9" s="29"/>
      <c r="E9" s="19"/>
      <c r="F9" s="29"/>
    </row>
    <row r="10" customFormat="false" ht="19.5" hidden="false" customHeight="true" outlineLevel="0" collapsed="false">
      <c r="B10" s="24" t="n">
        <v>5</v>
      </c>
      <c r="C10" s="25" t="s">
        <v>235</v>
      </c>
      <c r="D10" s="26"/>
      <c r="E10" s="9"/>
      <c r="F10" s="26"/>
    </row>
    <row r="12" customFormat="false" ht="21.75" hidden="false" customHeight="true" outlineLevel="0" collapsed="false">
      <c r="B12" s="3" t="s">
        <v>236</v>
      </c>
      <c r="C12" s="3"/>
      <c r="D12" s="3"/>
      <c r="E12" s="3"/>
      <c r="F12" s="3"/>
    </row>
    <row r="13" customFormat="false" ht="19.5" hidden="false" customHeight="true" outlineLevel="0" collapsed="false">
      <c r="B13" s="10" t="s">
        <v>79</v>
      </c>
      <c r="C13" s="10" t="s">
        <v>80</v>
      </c>
      <c r="D13" s="10" t="s">
        <v>81</v>
      </c>
      <c r="E13" s="10" t="s">
        <v>82</v>
      </c>
      <c r="F13" s="10" t="s">
        <v>83</v>
      </c>
    </row>
    <row r="14" customFormat="false" ht="19.5" hidden="false" customHeight="true" outlineLevel="0" collapsed="false">
      <c r="B14" s="24" t="n">
        <v>6</v>
      </c>
      <c r="C14" s="25" t="s">
        <v>237</v>
      </c>
      <c r="D14" s="26"/>
      <c r="E14" s="9"/>
      <c r="F14" s="26"/>
    </row>
    <row r="15" customFormat="false" ht="19.5" hidden="false" customHeight="true" outlineLevel="0" collapsed="false">
      <c r="B15" s="27" t="n">
        <v>7</v>
      </c>
      <c r="C15" s="28" t="s">
        <v>238</v>
      </c>
      <c r="D15" s="29"/>
      <c r="E15" s="19"/>
      <c r="F15" s="29"/>
    </row>
    <row r="16" customFormat="false" ht="19.5" hidden="false" customHeight="true" outlineLevel="0" collapsed="false">
      <c r="B16" s="24" t="n">
        <v>8</v>
      </c>
      <c r="C16" s="25" t="s">
        <v>239</v>
      </c>
      <c r="D16" s="26"/>
      <c r="E16" s="9"/>
      <c r="F16" s="26"/>
    </row>
    <row r="17" customFormat="false" ht="19.5" hidden="false" customHeight="true" outlineLevel="0" collapsed="false">
      <c r="B17" s="27" t="n">
        <v>9</v>
      </c>
      <c r="C17" s="28" t="s">
        <v>240</v>
      </c>
      <c r="D17" s="29"/>
      <c r="E17" s="19"/>
      <c r="F17" s="29"/>
    </row>
    <row r="19" customFormat="false" ht="21.75" hidden="false" customHeight="true" outlineLevel="0" collapsed="false">
      <c r="B19" s="3" t="s">
        <v>241</v>
      </c>
      <c r="C19" s="3"/>
      <c r="D19" s="3"/>
      <c r="E19" s="3"/>
      <c r="F19" s="3"/>
    </row>
    <row r="20" customFormat="false" ht="19.5" hidden="false" customHeight="true" outlineLevel="0" collapsed="false">
      <c r="B20" s="10" t="s">
        <v>79</v>
      </c>
      <c r="C20" s="10" t="s">
        <v>80</v>
      </c>
      <c r="D20" s="10" t="s">
        <v>81</v>
      </c>
      <c r="E20" s="10" t="s">
        <v>82</v>
      </c>
      <c r="F20" s="10" t="s">
        <v>83</v>
      </c>
    </row>
    <row r="21" customFormat="false" ht="19.5" hidden="false" customHeight="true" outlineLevel="0" collapsed="false">
      <c r="B21" s="24" t="n">
        <v>10</v>
      </c>
      <c r="C21" s="25" t="s">
        <v>242</v>
      </c>
      <c r="D21" s="26"/>
      <c r="E21" s="9"/>
      <c r="F21" s="26"/>
    </row>
    <row r="22" customFormat="false" ht="19.5" hidden="false" customHeight="true" outlineLevel="0" collapsed="false">
      <c r="B22" s="27" t="n">
        <v>11</v>
      </c>
      <c r="C22" s="28" t="s">
        <v>243</v>
      </c>
      <c r="D22" s="29"/>
      <c r="E22" s="19"/>
      <c r="F22" s="29"/>
    </row>
    <row r="23" customFormat="false" ht="19.5" hidden="false" customHeight="true" outlineLevel="0" collapsed="false">
      <c r="B23" s="24" t="n">
        <v>12</v>
      </c>
      <c r="C23" s="25" t="s">
        <v>244</v>
      </c>
      <c r="D23" s="26"/>
      <c r="E23" s="9"/>
      <c r="F23" s="26"/>
    </row>
    <row r="24" customFormat="false" ht="19.5" hidden="false" customHeight="true" outlineLevel="0" collapsed="false">
      <c r="B24" s="27" t="n">
        <v>13</v>
      </c>
      <c r="C24" s="28" t="s">
        <v>245</v>
      </c>
      <c r="D24" s="29"/>
      <c r="E24" s="19"/>
      <c r="F24" s="29"/>
    </row>
    <row r="26" customFormat="false" ht="21.75" hidden="false" customHeight="true" outlineLevel="0" collapsed="false">
      <c r="B26" s="3" t="s">
        <v>246</v>
      </c>
      <c r="C26" s="3"/>
      <c r="D26" s="3"/>
      <c r="E26" s="3"/>
      <c r="F26" s="3"/>
    </row>
    <row r="27" customFormat="false" ht="19.5" hidden="false" customHeight="true" outlineLevel="0" collapsed="false">
      <c r="B27" s="10" t="s">
        <v>79</v>
      </c>
      <c r="C27" s="10" t="s">
        <v>80</v>
      </c>
      <c r="D27" s="10" t="s">
        <v>81</v>
      </c>
      <c r="E27" s="10" t="s">
        <v>82</v>
      </c>
      <c r="F27" s="10" t="s">
        <v>83</v>
      </c>
    </row>
    <row r="28" customFormat="false" ht="19.5" hidden="false" customHeight="true" outlineLevel="0" collapsed="false">
      <c r="B28" s="24" t="n">
        <v>14</v>
      </c>
      <c r="C28" s="25" t="s">
        <v>247</v>
      </c>
      <c r="D28" s="26"/>
      <c r="E28" s="9"/>
      <c r="F28" s="26"/>
    </row>
    <row r="29" customFormat="false" ht="19.5" hidden="false" customHeight="true" outlineLevel="0" collapsed="false">
      <c r="B29" s="27" t="n">
        <v>15</v>
      </c>
      <c r="C29" s="28" t="s">
        <v>248</v>
      </c>
      <c r="D29" s="29"/>
      <c r="E29" s="19"/>
      <c r="F29" s="29"/>
    </row>
    <row r="30" customFormat="false" ht="19.5" hidden="false" customHeight="true" outlineLevel="0" collapsed="false">
      <c r="B30" s="24" t="n">
        <v>16</v>
      </c>
      <c r="C30" s="25" t="s">
        <v>249</v>
      </c>
      <c r="D30" s="26"/>
      <c r="E30" s="9"/>
      <c r="F30" s="26"/>
    </row>
    <row r="31" customFormat="false" ht="19.5" hidden="false" customHeight="true" outlineLevel="0" collapsed="false">
      <c r="B31" s="27" t="n">
        <v>17</v>
      </c>
      <c r="C31" s="28" t="s">
        <v>250</v>
      </c>
      <c r="D31" s="29"/>
      <c r="E31" s="19"/>
      <c r="F31" s="29"/>
    </row>
    <row r="32" customFormat="false" ht="19.5" hidden="false" customHeight="true" outlineLevel="0" collapsed="false">
      <c r="B32" s="24" t="n">
        <v>18</v>
      </c>
      <c r="C32" s="25" t="s">
        <v>251</v>
      </c>
      <c r="D32" s="26"/>
      <c r="E32" s="9"/>
      <c r="F32" s="26"/>
    </row>
    <row r="33" customFormat="false" ht="19.5" hidden="false" customHeight="true" outlineLevel="0" collapsed="false">
      <c r="B33" s="27" t="n">
        <v>19</v>
      </c>
      <c r="C33" s="28" t="s">
        <v>252</v>
      </c>
      <c r="D33" s="29"/>
      <c r="E33" s="19"/>
      <c r="F33" s="29"/>
    </row>
    <row r="34" customFormat="false" ht="19.5" hidden="false" customHeight="true" outlineLevel="0" collapsed="false">
      <c r="B34" s="24" t="n">
        <v>20</v>
      </c>
      <c r="C34" s="25" t="s">
        <v>253</v>
      </c>
      <c r="D34" s="26"/>
      <c r="E34" s="9"/>
      <c r="F34" s="26"/>
    </row>
    <row r="35" customFormat="false" ht="19.5" hidden="false" customHeight="true" outlineLevel="0" collapsed="false">
      <c r="B35" s="27" t="n">
        <v>21</v>
      </c>
      <c r="C35" s="28" t="s">
        <v>254</v>
      </c>
      <c r="D35" s="29"/>
      <c r="E35" s="19"/>
      <c r="F35" s="29"/>
    </row>
    <row r="36" customFormat="false" ht="19.5" hidden="false" customHeight="true" outlineLevel="0" collapsed="false">
      <c r="B36" s="24" t="n">
        <v>22</v>
      </c>
      <c r="C36" s="25" t="s">
        <v>255</v>
      </c>
      <c r="D36" s="26"/>
      <c r="E36" s="9"/>
      <c r="F36" s="26"/>
    </row>
    <row r="38" customFormat="false" ht="21.75" hidden="false" customHeight="true" outlineLevel="0" collapsed="false">
      <c r="B38" s="3" t="s">
        <v>256</v>
      </c>
      <c r="C38" s="3"/>
      <c r="D38" s="3"/>
      <c r="E38" s="3"/>
      <c r="F38" s="3"/>
    </row>
    <row r="39" customFormat="false" ht="19.5" hidden="false" customHeight="true" outlineLevel="0" collapsed="false">
      <c r="B39" s="10" t="s">
        <v>79</v>
      </c>
      <c r="C39" s="10" t="s">
        <v>80</v>
      </c>
      <c r="D39" s="10" t="s">
        <v>81</v>
      </c>
      <c r="E39" s="10" t="s">
        <v>82</v>
      </c>
      <c r="F39" s="10" t="s">
        <v>83</v>
      </c>
    </row>
    <row r="40" customFormat="false" ht="19.5" hidden="false" customHeight="true" outlineLevel="0" collapsed="false">
      <c r="B40" s="24" t="n">
        <v>23</v>
      </c>
      <c r="C40" s="25" t="s">
        <v>257</v>
      </c>
      <c r="D40" s="26"/>
      <c r="E40" s="9"/>
      <c r="F40" s="26"/>
    </row>
    <row r="41" customFormat="false" ht="19.5" hidden="false" customHeight="true" outlineLevel="0" collapsed="false">
      <c r="B41" s="27" t="n">
        <v>24</v>
      </c>
      <c r="C41" s="28" t="s">
        <v>258</v>
      </c>
      <c r="D41" s="29"/>
      <c r="E41" s="19"/>
      <c r="F41" s="29"/>
    </row>
    <row r="42" customFormat="false" ht="19.5" hidden="false" customHeight="true" outlineLevel="0" collapsed="false">
      <c r="B42" s="24" t="n">
        <v>25</v>
      </c>
      <c r="C42" s="25" t="s">
        <v>259</v>
      </c>
      <c r="D42" s="26"/>
      <c r="E42" s="9"/>
      <c r="F42" s="26"/>
    </row>
  </sheetData>
  <mergeCells count="6">
    <mergeCell ref="B2:F2"/>
    <mergeCell ref="B4:F4"/>
    <mergeCell ref="B12:F12"/>
    <mergeCell ref="B19:F19"/>
    <mergeCell ref="B26:F26"/>
    <mergeCell ref="B38:F38"/>
  </mergeCells>
  <conditionalFormatting sqref="D5:D40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Style="stop" operator="between" showDropDown="false" showErrorMessage="false" showInputMessage="false" sqref="D6:D10 D14:D17 D21:D24 D28:D36 D40:D42" type="list">
      <formula1>"OK,N/A,FAIL"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14"/>
  </cols>
  <sheetData>
    <row r="2" customFormat="false" ht="22.05" hidden="false" customHeight="false" outlineLevel="0" collapsed="false">
      <c r="B2" s="1" t="s">
        <v>260</v>
      </c>
      <c r="C2" s="1"/>
      <c r="D2" s="1"/>
      <c r="E2" s="1"/>
    </row>
    <row r="4" customFormat="false" ht="21.75" hidden="false" customHeight="true" outlineLevel="0" collapsed="false">
      <c r="B4" s="3" t="s">
        <v>261</v>
      </c>
      <c r="C4" s="3"/>
      <c r="D4" s="3"/>
      <c r="E4" s="3"/>
    </row>
    <row r="5" customFormat="false" ht="21.75" hidden="false" customHeight="true" outlineLevel="0" collapsed="false">
      <c r="B5" s="10" t="s">
        <v>79</v>
      </c>
      <c r="C5" s="10" t="s">
        <v>262</v>
      </c>
      <c r="D5" s="10" t="s">
        <v>263</v>
      </c>
      <c r="E5" s="10" t="s">
        <v>264</v>
      </c>
    </row>
    <row r="6" customFormat="false" ht="15" hidden="false" customHeight="false" outlineLevel="0" collapsed="false">
      <c r="B6" s="24" t="n">
        <v>1</v>
      </c>
      <c r="C6" s="9"/>
      <c r="D6" s="26"/>
      <c r="E6" s="26"/>
    </row>
    <row r="7" customFormat="false" ht="15" hidden="false" customHeight="false" outlineLevel="0" collapsed="false">
      <c r="B7" s="27" t="n">
        <v>2</v>
      </c>
      <c r="C7" s="19"/>
      <c r="D7" s="29"/>
      <c r="E7" s="29"/>
    </row>
    <row r="8" customFormat="false" ht="15" hidden="false" customHeight="false" outlineLevel="0" collapsed="false">
      <c r="B8" s="24" t="n">
        <v>3</v>
      </c>
      <c r="C8" s="9"/>
      <c r="D8" s="26"/>
      <c r="E8" s="26"/>
    </row>
    <row r="9" customFormat="false" ht="15" hidden="false" customHeight="false" outlineLevel="0" collapsed="false">
      <c r="B9" s="27" t="n">
        <v>4</v>
      </c>
      <c r="C9" s="19"/>
      <c r="D9" s="29"/>
      <c r="E9" s="29"/>
    </row>
    <row r="10" customFormat="false" ht="15" hidden="false" customHeight="false" outlineLevel="0" collapsed="false">
      <c r="B10" s="24" t="n">
        <v>5</v>
      </c>
      <c r="C10" s="9"/>
      <c r="D10" s="26"/>
      <c r="E10" s="26"/>
    </row>
    <row r="11" customFormat="false" ht="15" hidden="false" customHeight="false" outlineLevel="0" collapsed="false">
      <c r="B11" s="27" t="n">
        <v>6</v>
      </c>
      <c r="C11" s="19"/>
      <c r="D11" s="29"/>
      <c r="E11" s="29"/>
    </row>
    <row r="12" customFormat="false" ht="15" hidden="false" customHeight="false" outlineLevel="0" collapsed="false">
      <c r="B12" s="24" t="n">
        <v>7</v>
      </c>
      <c r="C12" s="9"/>
      <c r="D12" s="26"/>
      <c r="E12" s="26"/>
    </row>
    <row r="13" customFormat="false" ht="15" hidden="false" customHeight="false" outlineLevel="0" collapsed="false">
      <c r="B13" s="27" t="n">
        <v>8</v>
      </c>
      <c r="C13" s="19"/>
      <c r="D13" s="29"/>
      <c r="E13" s="29"/>
    </row>
    <row r="16" customFormat="false" ht="21.75" hidden="false" customHeight="true" outlineLevel="0" collapsed="false">
      <c r="B16" s="3" t="s">
        <v>265</v>
      </c>
      <c r="C16" s="3"/>
      <c r="D16" s="3"/>
      <c r="E16" s="3"/>
    </row>
    <row r="17" customFormat="false" ht="21.75" hidden="false" customHeight="true" outlineLevel="0" collapsed="false">
      <c r="B17" s="4" t="s">
        <v>266</v>
      </c>
      <c r="C17" s="9"/>
      <c r="D17" s="9"/>
      <c r="E17" s="9"/>
    </row>
    <row r="18" customFormat="false" ht="21.75" hidden="false" customHeight="true" outlineLevel="0" collapsed="false">
      <c r="B18" s="4" t="s">
        <v>16</v>
      </c>
      <c r="C18" s="9"/>
      <c r="D18" s="9"/>
      <c r="E18" s="9"/>
    </row>
    <row r="19" customFormat="false" ht="21.75" hidden="false" customHeight="true" outlineLevel="0" collapsed="false">
      <c r="B19" s="4" t="s">
        <v>62</v>
      </c>
      <c r="C19" s="6"/>
      <c r="D19" s="6"/>
      <c r="E19" s="6"/>
    </row>
    <row r="20" customFormat="false" ht="21.75" hidden="false" customHeight="true" outlineLevel="0" collapsed="false">
      <c r="B20" s="4" t="s">
        <v>267</v>
      </c>
      <c r="C20" s="9"/>
      <c r="D20" s="9"/>
      <c r="E20" s="9"/>
    </row>
    <row r="21" customFormat="false" ht="21.75" hidden="false" customHeight="true" outlineLevel="0" collapsed="false">
      <c r="B21" s="4" t="s">
        <v>18</v>
      </c>
      <c r="C21" s="9"/>
      <c r="D21" s="9"/>
      <c r="E21" s="9"/>
    </row>
    <row r="22" customFormat="false" ht="21.75" hidden="false" customHeight="true" outlineLevel="0" collapsed="false">
      <c r="B22" s="4" t="s">
        <v>62</v>
      </c>
      <c r="C22" s="6"/>
      <c r="D22" s="6"/>
      <c r="E22" s="6"/>
    </row>
    <row r="23" customFormat="false" ht="21.75" hidden="false" customHeight="true" outlineLevel="0" collapsed="false">
      <c r="B23" s="4" t="s">
        <v>268</v>
      </c>
      <c r="C23" s="9"/>
      <c r="D23" s="9"/>
      <c r="E23" s="9"/>
    </row>
    <row r="24" customFormat="false" ht="21.75" hidden="false" customHeight="true" outlineLevel="0" collapsed="false">
      <c r="B24" s="4" t="s">
        <v>269</v>
      </c>
      <c r="C24" s="9"/>
      <c r="D24" s="9"/>
      <c r="E24" s="9"/>
    </row>
    <row r="25" customFormat="false" ht="21.75" hidden="false" customHeight="true" outlineLevel="0" collapsed="false">
      <c r="B25" s="4" t="s">
        <v>62</v>
      </c>
      <c r="C25" s="6"/>
      <c r="D25" s="6"/>
      <c r="E25" s="6"/>
    </row>
    <row r="26" customFormat="false" ht="21.75" hidden="false" customHeight="true" outlineLevel="0" collapsed="false">
      <c r="B26" s="4" t="s">
        <v>270</v>
      </c>
      <c r="C26" s="39" t="n">
        <f aca="false">'1. Cover'!C5</f>
        <v>0</v>
      </c>
      <c r="D26" s="39"/>
      <c r="E26" s="39"/>
    </row>
  </sheetData>
  <mergeCells count="13">
    <mergeCell ref="B2:E2"/>
    <mergeCell ref="B4:E4"/>
    <mergeCell ref="B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</mergeCells>
  <conditionalFormatting sqref="C17:C3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2">
    <dataValidation allowBlank="true" errorStyle="stop" operator="between" showDropDown="false" showErrorMessage="false" showInputMessage="false" sqref="D6:D13" type="list">
      <formula1>"Low,Medium,High,Critical"</formula1>
      <formula2>0</formula2>
    </dataValidation>
    <dataValidation allowBlank="true" errorStyle="stop" operator="between" showDropDown="false" showErrorMessage="false" showInputMessage="false" sqref="E6:E13" type="list">
      <formula1>"Open,Closed"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2026-05-14T22:12:41Z</dcterms:created>
  <dc:creator>openpyxl</dc:creator>
  <dc:description/>
  <dc:language>en-US</dc:language>
  <cp:lastModifiedBy/>
  <dcterms:modified xsi:type="dcterms:W3CDTF">2026-05-14T22:12:41Z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