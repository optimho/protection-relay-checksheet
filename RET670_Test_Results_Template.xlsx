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" sheetId="1" state="visible" r:id="rId1"/>
    <sheet xmlns:r="http://schemas.openxmlformats.org/officeDocument/2006/relationships" name="2. Equip &amp; Refs" sheetId="2" state="visible" r:id="rId2"/>
    <sheet xmlns:r="http://schemas.openxmlformats.org/officeDocument/2006/relationships" name="3. Pre-Test" sheetId="3" state="visible" r:id="rId3"/>
    <sheet xmlns:r="http://schemas.openxmlformats.org/officeDocument/2006/relationships" name="4. Analogue Inputs" sheetId="4" state="visible" r:id="rId4"/>
    <sheet xmlns:r="http://schemas.openxmlformats.org/officeDocument/2006/relationships" name="5. Binary IO" sheetId="5" state="visible" r:id="rId5"/>
    <sheet xmlns:r="http://schemas.openxmlformats.org/officeDocument/2006/relationships" name="6. Element Tracker" sheetId="6" state="visible" r:id="rId6"/>
    <sheet xmlns:r="http://schemas.openxmlformats.org/officeDocument/2006/relationships" name="7. Element Results" sheetId="7" state="visible" r:id="rId7"/>
    <sheet xmlns:r="http://schemas.openxmlformats.org/officeDocument/2006/relationships" name="8. Post-Test" sheetId="8" state="visible" r:id="rId8"/>
    <sheet xmlns:r="http://schemas.openxmlformats.org/officeDocument/2006/relationships" name="9. Files &amp; Sign-Off" sheetId="9" state="visible" r:id="rId9"/>
  </sheets>
  <definedNames>
    <definedName name="Ratio_CT_W1">'1. Cover'!$C$21/'1. Cover'!$C$22</definedName>
    <definedName name="Ratio_CT_W2">'1. Cover'!$C$23/'1. Cover'!$C$24</definedName>
    <definedName name="Ratio_CT_W3">'1. Cover'!$C$25/'1. Cover'!$C$26</definedName>
    <definedName name="Ratio_VT">'1. Cover'!$C$27*1000/'1. Cover'!$C$28</definedName>
    <definedName name="TolV_pct">'1. Cover'!$B$33</definedName>
    <definedName name="TolI_pct">'1. Cover'!$B$34</definedName>
    <definedName name="TolAngle_deg">'1. Cover'!$B$35</definedName>
    <definedName name="TolPickup_pct">'1. Cover'!$B$36</definedName>
    <definedName name="TolTime_pct">'1. Cover'!$B$37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00FF"/>
      <sz val="11"/>
    </font>
    <font>
      <name val="Calibri"/>
      <b val="1"/>
      <color rgb="00FFFFFF"/>
      <sz val="10"/>
    </font>
    <font>
      <name val="Calibri"/>
      <b val="1"/>
      <color rgb="00000000"/>
      <sz val="12"/>
    </font>
    <font>
      <name val="Calibri"/>
      <b val="1"/>
      <color rgb="00000000"/>
      <sz val="11"/>
    </font>
    <font>
      <name val="Calibri"/>
      <b val="1"/>
      <color rgb="000000FF"/>
      <sz val="12"/>
    </font>
    <font>
      <name val="Calibri"/>
      <i val="1"/>
      <color rgb="00000000"/>
      <sz val="10"/>
    </font>
    <font>
      <name val="Calibri"/>
      <b val="1"/>
      <color rgb="00000000"/>
      <sz val="13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4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/>
    </xf>
    <xf numFmtId="2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5" fontId="0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ABB RET670 TRANSFORMER PROTECTION IED — TEST RESULTS TEMPLATE</t>
        </is>
      </c>
    </row>
    <row r="3">
      <c r="A3" s="2" t="inlineStr">
        <is>
          <t>1.  IED IDENTIFICATION</t>
        </is>
      </c>
    </row>
    <row r="4">
      <c r="A4" s="3" t="inlineStr">
        <is>
          <t>Relay Type / Model</t>
        </is>
      </c>
      <c r="B4" s="4" t="inlineStr">
        <is>
          <t>RET670 v2.2 ANSI</t>
        </is>
      </c>
    </row>
    <row r="5">
      <c r="A5" s="3" t="inlineStr">
        <is>
          <t>IED Name (Station / Bay)</t>
        </is>
      </c>
      <c r="B5" s="4" t="inlineStr"/>
    </row>
    <row r="6">
      <c r="A6" s="3" t="inlineStr">
        <is>
          <t>Description (Protected Equipment)</t>
        </is>
      </c>
      <c r="B6" s="4" t="inlineStr"/>
    </row>
    <row r="7">
      <c r="A7" s="3" t="inlineStr">
        <is>
          <t>Serial Number</t>
        </is>
      </c>
      <c r="B7" s="4" t="inlineStr"/>
    </row>
    <row r="8">
      <c r="A8" s="3" t="inlineStr">
        <is>
          <t>Ordering Number</t>
        </is>
      </c>
      <c r="B8" s="4" t="inlineStr"/>
    </row>
    <row r="9">
      <c r="A9" s="3" t="inlineStr">
        <is>
          <t>Firmware Version</t>
        </is>
      </c>
      <c r="B9" s="4" t="inlineStr"/>
    </row>
    <row r="10">
      <c r="A10" s="3" t="inlineStr">
        <is>
          <t>Production Date</t>
        </is>
      </c>
      <c r="B10" s="4" t="inlineStr"/>
    </row>
    <row r="11">
      <c r="A11" s="3" t="inlineStr">
        <is>
          <t>PCM600 Project File Name (.pcm)</t>
        </is>
      </c>
      <c r="B11" s="4" t="inlineStr"/>
    </row>
    <row r="12">
      <c r="A12" s="3" t="inlineStr">
        <is>
          <t>Site / Substation</t>
        </is>
      </c>
      <c r="B12" s="4" t="inlineStr"/>
    </row>
    <row r="13">
      <c r="A13" s="3" t="inlineStr">
        <is>
          <t>Test Date / Test Engineer</t>
        </is>
      </c>
      <c r="B13" s="4" t="inlineStr"/>
    </row>
    <row r="15">
      <c r="A15" s="2" t="inlineStr">
        <is>
          <t>2.  TRANSFORMER AND CT/VT PARAMETERS  (from PCM600 / TRM settings)</t>
        </is>
      </c>
    </row>
    <row r="16">
      <c r="A16" s="5" t="inlineStr">
        <is>
          <t>Parameter</t>
        </is>
      </c>
      <c r="B16" s="5" t="inlineStr">
        <is>
          <t>PCM600 Setting</t>
        </is>
      </c>
      <c r="C16" s="5" t="inlineStr">
        <is>
          <t>Value</t>
        </is>
      </c>
      <c r="D16" s="5" t="inlineStr">
        <is>
          <t>Units</t>
        </is>
      </c>
      <c r="E16" s="5" t="inlineStr"/>
      <c r="F16" s="5" t="inlineStr"/>
    </row>
    <row r="17">
      <c r="A17" s="3" t="inlineStr">
        <is>
          <t>Transformer MVA Rating</t>
        </is>
      </c>
      <c r="B17" s="6" t="inlineStr">
        <is>
          <t>Sr / MVA</t>
        </is>
      </c>
      <c r="C17" s="4" t="inlineStr"/>
      <c r="D17" s="7" t="inlineStr">
        <is>
          <t>MVA</t>
        </is>
      </c>
      <c r="E17" s="8" t="n"/>
      <c r="F17" s="8" t="n"/>
    </row>
    <row r="18">
      <c r="A18" s="3" t="inlineStr">
        <is>
          <t>Winding 1 (HV) Nominal Voltage</t>
        </is>
      </c>
      <c r="B18" s="6" t="inlineStr">
        <is>
          <t>GBASVAL Ur W1</t>
        </is>
      </c>
      <c r="C18" s="4" t="inlineStr"/>
      <c r="D18" s="7" t="inlineStr">
        <is>
          <t>kV primary (L-L)</t>
        </is>
      </c>
      <c r="E18" s="8" t="n"/>
      <c r="F18" s="8" t="n"/>
    </row>
    <row r="19">
      <c r="A19" s="3" t="inlineStr">
        <is>
          <t>Winding 2 (LV) Nominal Voltage</t>
        </is>
      </c>
      <c r="B19" s="6" t="inlineStr">
        <is>
          <t>GBASVAL Ur W2</t>
        </is>
      </c>
      <c r="C19" s="4" t="inlineStr"/>
      <c r="D19" s="7" t="inlineStr">
        <is>
          <t>kV primary (L-L)</t>
        </is>
      </c>
      <c r="E19" s="8" t="n"/>
      <c r="F19" s="8" t="n"/>
    </row>
    <row r="20">
      <c r="A20" s="3" t="inlineStr">
        <is>
          <t>Winding 3 (TV) Nominal Voltage</t>
        </is>
      </c>
      <c r="B20" s="6" t="inlineStr">
        <is>
          <t>GBASVAL Ur W3</t>
        </is>
      </c>
      <c r="C20" s="4" t="inlineStr">
        <is>
          <t>N/A</t>
        </is>
      </c>
      <c r="D20" s="7" t="inlineStr">
        <is>
          <t>kV (or N/A if 2-wdg)</t>
        </is>
      </c>
      <c r="E20" s="8" t="n"/>
      <c r="F20" s="8" t="n"/>
    </row>
    <row r="21">
      <c r="A21" s="3" t="inlineStr">
        <is>
          <t>Winding 1 CT Primary</t>
        </is>
      </c>
      <c r="B21" s="6" t="inlineStr">
        <is>
          <t>CTprim1</t>
        </is>
      </c>
      <c r="C21" s="4" t="inlineStr"/>
      <c r="D21" s="7" t="inlineStr">
        <is>
          <t>A primary</t>
        </is>
      </c>
      <c r="E21" s="8" t="n"/>
      <c r="F21" s="8" t="n"/>
    </row>
    <row r="22">
      <c r="A22" s="3" t="inlineStr">
        <is>
          <t>Winding 1 CT Secondary</t>
        </is>
      </c>
      <c r="B22" s="6" t="inlineStr">
        <is>
          <t>CTsec1</t>
        </is>
      </c>
      <c r="C22" s="4" t="inlineStr">
        <is>
          <t>1</t>
        </is>
      </c>
      <c r="D22" s="7" t="inlineStr">
        <is>
          <t>A secondary</t>
        </is>
      </c>
      <c r="E22" s="8" t="n"/>
      <c r="F22" s="8" t="n"/>
    </row>
    <row r="23">
      <c r="A23" s="3" t="inlineStr">
        <is>
          <t>Winding 2 CT Primary</t>
        </is>
      </c>
      <c r="B23" s="6" t="inlineStr">
        <is>
          <t>CTprim2</t>
        </is>
      </c>
      <c r="C23" s="4" t="inlineStr"/>
      <c r="D23" s="7" t="inlineStr">
        <is>
          <t>A primary</t>
        </is>
      </c>
      <c r="E23" s="8" t="n"/>
      <c r="F23" s="8" t="n"/>
    </row>
    <row r="24">
      <c r="A24" s="3" t="inlineStr">
        <is>
          <t>Winding 2 CT Secondary</t>
        </is>
      </c>
      <c r="B24" s="6" t="inlineStr">
        <is>
          <t>CTsec2</t>
        </is>
      </c>
      <c r="C24" s="4" t="inlineStr">
        <is>
          <t>1</t>
        </is>
      </c>
      <c r="D24" s="7" t="inlineStr">
        <is>
          <t>A secondary</t>
        </is>
      </c>
      <c r="E24" s="8" t="n"/>
      <c r="F24" s="8" t="n"/>
    </row>
    <row r="25">
      <c r="A25" s="3" t="inlineStr">
        <is>
          <t>Winding 3 CT Primary</t>
        </is>
      </c>
      <c r="B25" s="6" t="inlineStr">
        <is>
          <t>CTprim3</t>
        </is>
      </c>
      <c r="C25" s="4" t="inlineStr">
        <is>
          <t>N/A</t>
        </is>
      </c>
      <c r="D25" s="7" t="inlineStr">
        <is>
          <t>A primary (N/A if 2-wdg)</t>
        </is>
      </c>
      <c r="E25" s="8" t="n"/>
      <c r="F25" s="8" t="n"/>
    </row>
    <row r="26">
      <c r="A26" s="3" t="inlineStr">
        <is>
          <t>Winding 3 CT Secondary</t>
        </is>
      </c>
      <c r="B26" s="6" t="inlineStr">
        <is>
          <t>CTsec3</t>
        </is>
      </c>
      <c r="C26" s="4" t="inlineStr">
        <is>
          <t>N/A</t>
        </is>
      </c>
      <c r="D26" s="7" t="inlineStr">
        <is>
          <t>A secondary</t>
        </is>
      </c>
      <c r="E26" s="8" t="n"/>
      <c r="F26" s="8" t="n"/>
    </row>
    <row r="27">
      <c r="A27" s="3" t="inlineStr">
        <is>
          <t>VT Primary Voltage</t>
        </is>
      </c>
      <c r="B27" s="6" t="inlineStr">
        <is>
          <t>VTprim (kV)</t>
        </is>
      </c>
      <c r="C27" s="4" t="inlineStr"/>
      <c r="D27" s="7" t="inlineStr">
        <is>
          <t>kV primary (L-L)</t>
        </is>
      </c>
      <c r="E27" s="8" t="n"/>
      <c r="F27" s="8" t="n"/>
    </row>
    <row r="28">
      <c r="A28" s="3" t="inlineStr">
        <is>
          <t>VT Secondary Voltage</t>
        </is>
      </c>
      <c r="B28" s="6" t="inlineStr">
        <is>
          <t>VTsec (V)</t>
        </is>
      </c>
      <c r="C28" s="4" t="inlineStr"/>
      <c r="D28" s="7" t="inlineStr">
        <is>
          <t>V secondary (L-L)</t>
        </is>
      </c>
      <c r="E28" s="8" t="n"/>
      <c r="F28" s="8" t="n"/>
    </row>
    <row r="29">
      <c r="A29" s="3" t="inlineStr">
        <is>
          <t>W1 CT Connection Direction</t>
        </is>
      </c>
      <c r="B29" s="6" t="inlineStr">
        <is>
          <t>CT_WyePoint1</t>
        </is>
      </c>
      <c r="C29" s="4" t="inlineStr">
        <is>
          <t>ToObject</t>
        </is>
      </c>
      <c r="D29" s="7" t="inlineStr">
        <is>
          <t>ToObject / FromObject</t>
        </is>
      </c>
      <c r="E29" s="8" t="n"/>
      <c r="F29" s="8" t="n"/>
    </row>
    <row r="30">
      <c r="A30" s="3" t="inlineStr">
        <is>
          <t>Active Setting Group</t>
        </is>
      </c>
      <c r="B30" s="6" t="inlineStr">
        <is>
          <t>ACTVGRP</t>
        </is>
      </c>
      <c r="C30" s="4" t="inlineStr">
        <is>
          <t>1</t>
        </is>
      </c>
      <c r="D30" s="7" t="inlineStr">
        <is>
          <t>1–6</t>
        </is>
      </c>
      <c r="E30" s="8" t="n"/>
      <c r="F30" s="8" t="n"/>
    </row>
    <row r="32">
      <c r="A32" s="2" t="inlineStr">
        <is>
          <t>3.  TEST TOLERANCES  (yellow cells are editable)</t>
        </is>
      </c>
    </row>
    <row r="33">
      <c r="A33" s="3" t="inlineStr">
        <is>
          <t>Voltage Magnitude Tolerance</t>
        </is>
      </c>
      <c r="B33" s="9" t="n">
        <v>1</v>
      </c>
      <c r="C33" s="7" t="inlineStr">
        <is>
          <t>%</t>
        </is>
      </c>
      <c r="D33" s="8" t="n"/>
      <c r="E33" s="8" t="n"/>
      <c r="F33" s="8" t="n"/>
    </row>
    <row r="34">
      <c r="A34" s="3" t="inlineStr">
        <is>
          <t>Current Magnitude Tolerance</t>
        </is>
      </c>
      <c r="B34" s="9" t="n">
        <v>1</v>
      </c>
      <c r="C34" s="7" t="inlineStr">
        <is>
          <t>%</t>
        </is>
      </c>
      <c r="D34" s="8" t="n"/>
      <c r="E34" s="8" t="n"/>
      <c r="F34" s="8" t="n"/>
    </row>
    <row r="35">
      <c r="A35" s="3" t="inlineStr">
        <is>
          <t>Angle Tolerance</t>
        </is>
      </c>
      <c r="B35" s="9" t="n">
        <v>2</v>
      </c>
      <c r="C35" s="7" t="inlineStr">
        <is>
          <t>degrees</t>
        </is>
      </c>
      <c r="D35" s="8" t="n"/>
      <c r="E35" s="8" t="n"/>
      <c r="F35" s="8" t="n"/>
    </row>
    <row r="36">
      <c r="A36" s="3" t="inlineStr">
        <is>
          <t>Pickup Tolerance</t>
        </is>
      </c>
      <c r="B36" s="9" t="n">
        <v>5</v>
      </c>
      <c r="C36" s="7" t="inlineStr">
        <is>
          <t>%</t>
        </is>
      </c>
      <c r="D36" s="8" t="n"/>
      <c r="E36" s="8" t="n"/>
      <c r="F36" s="8" t="n"/>
    </row>
    <row r="37">
      <c r="A37" s="3" t="inlineStr">
        <is>
          <t>Timing Tolerance</t>
        </is>
      </c>
      <c r="B37" s="9" t="n">
        <v>5</v>
      </c>
      <c r="C37" s="7" t="inlineStr">
        <is>
          <t>%</t>
        </is>
      </c>
      <c r="D37" s="8" t="n"/>
      <c r="E37" s="8" t="n"/>
      <c r="F37" s="8" t="n"/>
    </row>
    <row r="39">
      <c r="A39" s="2" t="inlineStr">
        <is>
          <t>4.  OVERALL TEST RESULT</t>
        </is>
      </c>
    </row>
    <row r="40">
      <c r="A40" s="3" t="inlineStr">
        <is>
          <t>Auto-calculated cross-check</t>
        </is>
      </c>
      <c r="B40" s="10">
        <f>IF(COUNTIF('4. Analogue Inputs'!M:M,"FAIL")+COUNTIF('7. Element Results'!G:G,"FAIL")&gt;0,"FAIL",IF(COUNTIF('4. Analogue Inputs'!M:M,"PASS")+COUNTIF('7. Element Results'!G:G,"PASS")&gt;0,"PASS","INCOMPLETE"))</f>
        <v/>
      </c>
      <c r="C40" s="11" t="n"/>
      <c r="D40" s="12" t="n"/>
      <c r="E40" s="7" t="inlineStr">
        <is>
          <t>(auto only — see signed result)</t>
        </is>
      </c>
    </row>
    <row r="41">
      <c r="A41" s="13" t="inlineStr">
        <is>
          <t>SIGNED OVERALL RESULT</t>
        </is>
      </c>
      <c r="B41" s="14" t="inlineStr">
        <is>
          <t>PASS</t>
        </is>
      </c>
      <c r="C41" s="11" t="n"/>
      <c r="D41" s="12" t="n"/>
      <c r="E41" s="7" t="inlineStr">
        <is>
          <t>PASS / PASS WITH NOTES / FAIL</t>
        </is>
      </c>
    </row>
  </sheetData>
  <mergeCells count="19">
    <mergeCell ref="B4:F4"/>
    <mergeCell ref="B7:F7"/>
    <mergeCell ref="A3:F3"/>
    <mergeCell ref="B12:F12"/>
    <mergeCell ref="B11:F11"/>
    <mergeCell ref="A32:F32"/>
    <mergeCell ref="B40:D40"/>
    <mergeCell ref="B8:F8"/>
    <mergeCell ref="E40:F40"/>
    <mergeCell ref="B13:F13"/>
    <mergeCell ref="B41:D41"/>
    <mergeCell ref="B10:F10"/>
    <mergeCell ref="A39:F39"/>
    <mergeCell ref="A15:F15"/>
    <mergeCell ref="B9:F9"/>
    <mergeCell ref="B6:F6"/>
    <mergeCell ref="A1:F1"/>
    <mergeCell ref="E41:F41"/>
    <mergeCell ref="B5:F5"/>
  </mergeCells>
  <dataValidations count="1">
    <dataValidation sqref="B41" showDropDown="0" showInputMessage="0" showErrorMessage="0" allowBlank="0" type="list">
      <formula1>"PASS,PASS WITH NOTES,FAIL"</formula1>
    </dataValidation>
  </dataValidations>
  <pageMargins left="0.4" right="0.4" top="0.6" bottom="0.6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2" customWidth="1" min="3" max="3"/>
    <col width="16" customWidth="1" min="4" max="4"/>
  </cols>
  <sheetData>
    <row r="1" ht="26" customHeight="1">
      <c r="A1" s="1" t="inlineStr">
        <is>
          <t>EQUIPMENT &amp; REFERENCES</t>
        </is>
      </c>
    </row>
    <row r="3">
      <c r="A3" s="2" t="inlineStr">
        <is>
          <t>TEST EQUIPMENT USED</t>
        </is>
      </c>
    </row>
    <row r="4">
      <c r="A4" s="5" t="inlineStr">
        <is>
          <t>Equipment</t>
        </is>
      </c>
      <c r="B4" s="5" t="inlineStr">
        <is>
          <t>Manufacturer / Model</t>
        </is>
      </c>
      <c r="C4" s="5" t="inlineStr">
        <is>
          <t>Asset / Serial No.</t>
        </is>
      </c>
      <c r="D4" s="5" t="inlineStr">
        <is>
          <t>Cal. Due</t>
        </is>
      </c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2">
      <c r="A12" s="2" t="inlineStr">
        <is>
          <t>DOCUMENTS &amp; DRAWINGS</t>
        </is>
      </c>
    </row>
    <row r="13">
      <c r="A13" s="5" t="inlineStr">
        <is>
          <t>Document</t>
        </is>
      </c>
      <c r="B13" s="5" t="inlineStr">
        <is>
          <t>Title / Description</t>
        </is>
      </c>
      <c r="C13" s="5" t="inlineStr">
        <is>
          <t>Document No.</t>
        </is>
      </c>
      <c r="D13" s="5" t="inlineStr">
        <is>
          <t>Rev</t>
        </is>
      </c>
    </row>
    <row r="14">
      <c r="A14" s="3" t="inlineStr">
        <is>
          <t>PCM600 Project File / Signal Matrix Tool (SMT)</t>
        </is>
      </c>
      <c r="B14" s="4" t="n"/>
      <c r="C14" s="4" t="n"/>
      <c r="D14" s="4" t="n"/>
    </row>
    <row r="15">
      <c r="A15" s="3" t="inlineStr">
        <is>
          <t>AC Elementary / Schematic</t>
        </is>
      </c>
      <c r="B15" s="4" t="n"/>
      <c r="C15" s="4" t="n"/>
      <c r="D15" s="4" t="n"/>
    </row>
    <row r="16">
      <c r="A16" s="3" t="inlineStr">
        <is>
          <t>DC Control Schematic</t>
        </is>
      </c>
      <c r="B16" s="4" t="n"/>
      <c r="C16" s="4" t="n"/>
      <c r="D16" s="4" t="n"/>
    </row>
    <row r="17">
      <c r="A17" s="3" t="inlineStr">
        <is>
          <t>Transformer Protection Single-Line Diagram</t>
        </is>
      </c>
      <c r="B17" s="4" t="n"/>
      <c r="C17" s="4" t="n"/>
      <c r="D17" s="4" t="n"/>
    </row>
    <row r="18">
      <c r="A18" s="3" t="inlineStr">
        <is>
          <t>Protection Coordination Study</t>
        </is>
      </c>
      <c r="B18" s="4" t="n"/>
      <c r="C18" s="4" t="n"/>
      <c r="D18" s="4" t="n"/>
    </row>
    <row r="19">
      <c r="A19" s="3" t="inlineStr">
        <is>
          <t>Maintenance Work Order</t>
        </is>
      </c>
      <c r="B19" s="4" t="n"/>
      <c r="C19" s="4" t="n"/>
      <c r="D19" s="4" t="n"/>
    </row>
  </sheetData>
  <mergeCells count="3">
    <mergeCell ref="A1:D1"/>
    <mergeCell ref="A12:D12"/>
    <mergeCell ref="A3:D3"/>
  </mergeCells>
  <pageMargins left="0.4" right="0.4" top="0.6" bottom="0.6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6" customWidth="1" min="3" max="3"/>
    <col width="22" customWidth="1" min="4" max="4"/>
  </cols>
  <sheetData>
    <row r="1" ht="26" customHeight="1">
      <c r="A1" s="1" t="inlineStr">
        <is>
          <t>PRE-TEST CHECKS</t>
        </is>
      </c>
    </row>
    <row r="3">
      <c r="A3" s="2" t="inlineStr">
        <is>
          <t>3.1  COMMUNICATIONS &amp; IDENTIFICATION</t>
        </is>
      </c>
    </row>
    <row r="4">
      <c r="A4" s="5" t="inlineStr">
        <is>
          <t>Check</t>
        </is>
      </c>
      <c r="B4" s="5" t="inlineStr">
        <is>
          <t>Expected / Action</t>
        </is>
      </c>
      <c r="C4" s="5" t="inlineStr">
        <is>
          <t>Result</t>
        </is>
      </c>
      <c r="D4" s="5" t="inlineStr">
        <is>
          <t>Notes</t>
        </is>
      </c>
    </row>
    <row r="5">
      <c r="A5" s="3" t="inlineStr">
        <is>
          <t>Connect to IED via PCM600 or web browser (Ethernet)</t>
        </is>
      </c>
      <c r="B5" s="6" t="inlineStr">
        <is>
          <t>PCM600 connects and IED tree populates</t>
        </is>
      </c>
      <c r="C5" s="4" t="n"/>
      <c r="D5" s="4" t="n"/>
    </row>
    <row r="6">
      <c r="A6" s="3" t="inlineStr">
        <is>
          <t>Confirm IED name matches asset register</t>
        </is>
      </c>
      <c r="B6" s="6" t="inlineStr">
        <is>
          <t>LHMI: Main menu → Settings → IED name (TERMINALID)</t>
        </is>
      </c>
      <c r="C6" s="4" t="n"/>
      <c r="D6" s="4" t="n"/>
    </row>
    <row r="7">
      <c r="A7" s="3" t="inlineStr">
        <is>
          <t>Confirm firmware version</t>
        </is>
      </c>
      <c r="B7" s="6" t="inlineStr">
        <is>
          <t>LHMI: Main menu → Diagnostics → IED status → Version</t>
        </is>
      </c>
      <c r="C7" s="4" t="n"/>
      <c r="D7" s="4" t="n"/>
    </row>
    <row r="8">
      <c r="A8" s="3" t="inlineStr">
        <is>
          <t>Confirm serial number</t>
        </is>
      </c>
      <c r="B8" s="6" t="inlineStr">
        <is>
          <t>LHMI: Main menu → Diagnostics → IED status → Product info</t>
        </is>
      </c>
      <c r="C8" s="4" t="n"/>
      <c r="D8" s="4" t="n"/>
    </row>
    <row r="9">
      <c r="A9" s="3" t="inlineStr">
        <is>
          <t>Normal LED (green, fixed) illuminated</t>
        </is>
      </c>
      <c r="B9" s="6" t="inlineStr">
        <is>
          <t>Green LED ON = IED healthy and in service</t>
        </is>
      </c>
      <c r="C9" s="4" t="n"/>
      <c r="D9" s="4" t="n"/>
    </row>
    <row r="10">
      <c r="A10" s="3" t="inlineStr">
        <is>
          <t>No active alarms on LHMI alarm LEDs</t>
        </is>
      </c>
      <c r="B10" s="6" t="inlineStr">
        <is>
          <t>All alarm LEDs off (or known / accepted conditions only)</t>
        </is>
      </c>
      <c r="C10" s="4" t="n"/>
      <c r="D10" s="4" t="n"/>
    </row>
    <row r="11">
      <c r="A11" s="3" t="inlineStr">
        <is>
          <t>Active setting group confirmed</t>
        </is>
      </c>
      <c r="B11" s="6" t="inlineStr">
        <is>
          <t>LHMI: Main menu → Settings → Setting group (ACTVGRP)</t>
        </is>
      </c>
      <c r="C11" s="4" t="n"/>
      <c r="D11" s="4" t="n"/>
    </row>
    <row r="13">
      <c r="A13" s="2" t="inlineStr">
        <is>
          <t>3.2  IED SELF-SUPERVISION  (INTERRSIG — LHMI: Main menu → Diagnostics → IED status → Signals)</t>
        </is>
      </c>
    </row>
    <row r="14" ht="44" customHeight="1">
      <c r="A14" s="15" t="inlineStr">
        <is>
          <t>The INTERRSIG function block provides continuous hardware and software self-monitoring. All signals should be NORMAL (0). Any FAIL signal will assert the INTERNAL FAIL contact on the PSM module. Navigate LHMI: Main menu → Diagnostics → IED status → Internal events to review the event log (last 40 events, FIFO).</t>
        </is>
      </c>
    </row>
    <row r="15">
      <c r="A15" s="5" t="inlineStr">
        <is>
          <t>INTERRSIG Signal</t>
        </is>
      </c>
      <c r="B15" s="5" t="inlineStr">
        <is>
          <t>Description / What it monitors</t>
        </is>
      </c>
      <c r="C15" s="5" t="inlineStr">
        <is>
          <t>State (NORMAL / FAIL / WARN)</t>
        </is>
      </c>
      <c r="D15" s="5" t="inlineStr">
        <is>
          <t>Action if not NORMAL</t>
        </is>
      </c>
    </row>
    <row r="16">
      <c r="A16" s="13" t="inlineStr">
        <is>
          <t>FAIL</t>
        </is>
      </c>
      <c r="B16" s="6" t="inlineStr">
        <is>
          <t>General IED failure — INTERNAL FAIL contact asserted on PSM</t>
        </is>
      </c>
      <c r="C16" s="4" t="n"/>
      <c r="D16" s="4" t="n"/>
    </row>
    <row r="17">
      <c r="A17" s="13" t="inlineStr">
        <is>
          <t>WARNING</t>
        </is>
      </c>
      <c r="B17" s="6" t="inlineStr">
        <is>
          <t>Warning condition — degraded operation, not yet a failure</t>
        </is>
      </c>
      <c r="C17" s="4" t="n"/>
      <c r="D17" s="4" t="n"/>
    </row>
    <row r="18">
      <c r="A18" s="13" t="inlineStr">
        <is>
          <t>RTCERROR</t>
        </is>
      </c>
      <c r="B18" s="6" t="inlineStr">
        <is>
          <t>Real-time clock error — timekeeping or battery issue</t>
        </is>
      </c>
      <c r="C18" s="4" t="n"/>
      <c r="D18" s="4" t="n"/>
    </row>
    <row r="19">
      <c r="A19" s="13" t="inlineStr">
        <is>
          <t>TIMESYNCHERROR</t>
        </is>
      </c>
      <c r="B19" s="6" t="inlineStr">
        <is>
          <t>Time synchronisation error — IRIG-B / IEEE 1588 / NTP loss</t>
        </is>
      </c>
      <c r="C19" s="4" t="n"/>
      <c r="D19" s="4" t="n"/>
    </row>
    <row r="20">
      <c r="A20" s="13" t="inlineStr">
        <is>
          <t>RTEERROR</t>
        </is>
      </c>
      <c r="B20" s="6" t="inlineStr">
        <is>
          <t>Real-time execution error — protection task overrun</t>
        </is>
      </c>
      <c r="C20" s="4" t="n"/>
      <c r="D20" s="4" t="n"/>
    </row>
    <row r="21">
      <c r="A21" s="13" t="inlineStr">
        <is>
          <t>IEC61850ERROR</t>
        </is>
      </c>
      <c r="B21" s="6" t="inlineStr">
        <is>
          <t>IEC 61850 communication error — GOOSE or MMS failure</t>
        </is>
      </c>
      <c r="C21" s="4" t="n"/>
      <c r="D21" s="4" t="n"/>
    </row>
    <row r="22">
      <c r="A22" s="13" t="inlineStr">
        <is>
          <t>WATCHDOG</t>
        </is>
      </c>
      <c r="B22" s="6" t="inlineStr">
        <is>
          <t>Watchdog timer failure — CPU or task hang</t>
        </is>
      </c>
      <c r="C22" s="4" t="n"/>
      <c r="D22" s="4" t="n"/>
    </row>
    <row r="23">
      <c r="A23" s="13" t="inlineStr">
        <is>
          <t>LMDERROR</t>
        </is>
      </c>
      <c r="B23" s="6" t="inlineStr">
        <is>
          <t>LDCM (Line Data Communication Module) error — if fitted</t>
        </is>
      </c>
      <c r="C23" s="4" t="n"/>
      <c r="D23" s="4" t="n"/>
    </row>
    <row r="24">
      <c r="A24" s="13" t="inlineStr">
        <is>
          <t>APPERROR</t>
        </is>
      </c>
      <c r="B24" s="6" t="inlineStr">
        <is>
          <t>Application configuration error — PCM600 config mismatch</t>
        </is>
      </c>
      <c r="C24" s="4" t="n"/>
      <c r="D24" s="4" t="n"/>
    </row>
    <row r="25">
      <c r="A25" s="2" t="inlineStr">
        <is>
          <t>3.2 (cont.)  HARDWARE MODULE STATUS  (LHMI: Main menu → Diagnostics → Hardware)</t>
        </is>
      </c>
    </row>
    <row r="26">
      <c r="A26" s="5" t="inlineStr">
        <is>
          <t>Module</t>
        </is>
      </c>
      <c r="B26" s="5" t="inlineStr">
        <is>
          <t>Description</t>
        </is>
      </c>
      <c r="C26" s="5" t="inlineStr">
        <is>
          <t>Status (OK / FAIL)</t>
        </is>
      </c>
      <c r="D26" s="5" t="inlineStr">
        <is>
          <t>Notes</t>
        </is>
      </c>
    </row>
    <row r="27">
      <c r="A27" s="13" t="inlineStr">
        <is>
          <t>PSM</t>
        </is>
      </c>
      <c r="B27" s="6" t="inlineStr">
        <is>
          <t>Power Supply Module — DC supply health and INTERNAL FAIL relay contact</t>
        </is>
      </c>
      <c r="C27" s="4" t="n"/>
      <c r="D27" s="4" t="n"/>
    </row>
    <row r="28">
      <c r="A28" s="13" t="inlineStr">
        <is>
          <t>ADOne</t>
        </is>
      </c>
      <c r="B28" s="6" t="inlineStr">
        <is>
          <t>A/D converter on TRM (Transformer Input Module) — CT/VT channel offsets</t>
        </is>
      </c>
      <c r="C28" s="4" t="n"/>
      <c r="D28" s="4" t="n"/>
    </row>
    <row r="29">
      <c r="A29" s="13" t="inlineStr">
        <is>
          <t>ADTwo</t>
        </is>
      </c>
      <c r="B29" s="6" t="inlineStr">
        <is>
          <t>Second A/D converter (if TRM has 2 A/D boards — e.g. TRM_12I)</t>
        </is>
      </c>
      <c r="C29" s="4" t="n"/>
      <c r="D29" s="4" t="n"/>
    </row>
    <row r="30">
      <c r="A30" s="13" t="inlineStr">
        <is>
          <t>BIM</t>
        </is>
      </c>
      <c r="B30" s="6" t="inlineStr">
        <is>
          <t>Binary Input Module — all BIM cards fitted</t>
        </is>
      </c>
      <c r="C30" s="4" t="n"/>
      <c r="D30" s="4" t="n"/>
    </row>
    <row r="31">
      <c r="A31" s="13" t="inlineStr">
        <is>
          <t>BOM</t>
        </is>
      </c>
      <c r="B31" s="6" t="inlineStr">
        <is>
          <t>Binary Output Module — all BOM cards fitted</t>
        </is>
      </c>
      <c r="C31" s="4" t="n"/>
      <c r="D31" s="4" t="n"/>
    </row>
    <row r="32">
      <c r="A32" s="13" t="inlineStr">
        <is>
          <t>IOM</t>
        </is>
      </c>
      <c r="B32" s="6" t="inlineStr">
        <is>
          <t>Input/Output Module — combined BIM/BOM cards</t>
        </is>
      </c>
      <c r="C32" s="4" t="n"/>
      <c r="D32" s="4" t="n"/>
    </row>
    <row r="33">
      <c r="A33" s="13" t="inlineStr">
        <is>
          <t>MIM</t>
        </is>
      </c>
      <c r="B33" s="6" t="inlineStr">
        <is>
          <t>mA Input Module — if fitted for analogue supervision</t>
        </is>
      </c>
      <c r="C33" s="4" t="n"/>
      <c r="D33" s="4" t="n"/>
    </row>
    <row r="34">
      <c r="A34" s="13" t="inlineStr">
        <is>
          <t>LDCM</t>
        </is>
      </c>
      <c r="B34" s="6" t="inlineStr">
        <is>
          <t>Line Data Communication Module — if fitted</t>
        </is>
      </c>
      <c r="C34" s="4" t="n"/>
      <c r="D34" s="4" t="n"/>
    </row>
    <row r="36">
      <c r="A36" s="2" t="inlineStr">
        <is>
          <t>3.3  TIME SYNCHRONISATION</t>
        </is>
      </c>
    </row>
    <row r="37">
      <c r="A37" s="5" t="inlineStr">
        <is>
          <t>Check</t>
        </is>
      </c>
      <c r="B37" s="5" t="inlineStr">
        <is>
          <t>Expected / Action</t>
        </is>
      </c>
      <c r="C37" s="5" t="inlineStr">
        <is>
          <t>Result</t>
        </is>
      </c>
      <c r="D37" s="5" t="inlineStr">
        <is>
          <t>Notes</t>
        </is>
      </c>
    </row>
    <row r="38">
      <c r="A38" s="3" t="inlineStr">
        <is>
          <t>LHMI: Main menu → Diagnostics → IED status → Time</t>
        </is>
      </c>
      <c r="B38" s="6" t="inlineStr">
        <is>
          <t>IED time within 1 s of reference clock</t>
        </is>
      </c>
      <c r="C38" s="4" t="n"/>
      <c r="D38" s="4" t="n"/>
    </row>
    <row r="39">
      <c r="A39" s="3" t="inlineStr">
        <is>
          <t>Time source active (IRIG-B / IEEE 1588 / NTP / manual)</t>
        </is>
      </c>
      <c r="B39" s="6" t="inlineStr">
        <is>
          <t>TIMESYNCHERROR = NORMAL; source shown as active</t>
        </is>
      </c>
      <c r="C39" s="4" t="n"/>
      <c r="D39" s="4" t="n"/>
    </row>
    <row r="40">
      <c r="A40" s="3" t="inlineStr">
        <is>
          <t>Confirm date and time correct</t>
        </is>
      </c>
      <c r="B40" s="6" t="inlineStr">
        <is>
          <t>Check against substation master clock or GPS reference</t>
        </is>
      </c>
      <c r="C40" s="4" t="n"/>
      <c r="D40" s="4" t="n"/>
    </row>
    <row r="42">
      <c r="A42" s="2" t="inlineStr">
        <is>
          <t>3.4  EVENT RECORDS (pre-test baseline)</t>
        </is>
      </c>
    </row>
    <row r="43">
      <c r="A43" s="5" t="inlineStr">
        <is>
          <t>Check</t>
        </is>
      </c>
      <c r="B43" s="5" t="inlineStr">
        <is>
          <t>Expected / Action</t>
        </is>
      </c>
      <c r="C43" s="5" t="inlineStr">
        <is>
          <t>Result</t>
        </is>
      </c>
      <c r="D43" s="5" t="inlineStr">
        <is>
          <t>Notes</t>
        </is>
      </c>
    </row>
    <row r="44">
      <c r="A44" s="3" t="inlineStr">
        <is>
          <t>LHMI: Main menu → Events — review disturbance records</t>
        </is>
      </c>
      <c r="B44" s="6" t="inlineStr">
        <is>
          <t>No unexplained trips or alarms since last test</t>
        </is>
      </c>
      <c r="C44" s="4" t="n"/>
      <c r="D44" s="4" t="n"/>
    </row>
    <row r="45">
      <c r="A45" s="3" t="inlineStr">
        <is>
          <t>Note most recent event number</t>
        </is>
      </c>
      <c r="B45" s="6" t="inlineStr">
        <is>
          <t>Baseline for post-test comparison</t>
        </is>
      </c>
      <c r="C45" s="4" t="n"/>
      <c r="D45" s="4" t="n"/>
    </row>
    <row r="46">
      <c r="A46" s="3" t="inlineStr">
        <is>
          <t>Review internal event list (INTERRSIG)</t>
        </is>
      </c>
      <c r="B46" s="6" t="inlineStr">
        <is>
          <t>No historic FAIL or WARNING events outstanding</t>
        </is>
      </c>
      <c r="C46" s="4" t="n"/>
      <c r="D46" s="4" t="n"/>
    </row>
    <row r="47">
      <c r="A47" s="3" t="inlineStr">
        <is>
          <t>Confirm disturbance recorder cleared / downloaded</t>
        </is>
      </c>
      <c r="B47" s="6" t="inlineStr">
        <is>
          <t>Oscillography available for any recent events</t>
        </is>
      </c>
      <c r="C47" s="4" t="n"/>
      <c r="D47" s="4" t="n"/>
    </row>
    <row r="49">
      <c r="A49" s="2" t="inlineStr">
        <is>
          <t>3.5  SETTINGS VERIFICATION  (PCM600 → Upload from IED)</t>
        </is>
      </c>
    </row>
    <row r="50">
      <c r="A50" s="5" t="inlineStr">
        <is>
          <t>Check</t>
        </is>
      </c>
      <c r="B50" s="5" t="inlineStr">
        <is>
          <t>Expected / Action</t>
        </is>
      </c>
      <c r="C50" s="5" t="inlineStr">
        <is>
          <t>Result</t>
        </is>
      </c>
      <c r="D50" s="5" t="inlineStr">
        <is>
          <t>Notes</t>
        </is>
      </c>
    </row>
    <row r="51">
      <c r="A51" s="3" t="inlineStr">
        <is>
          <t>Upload settings via PCM600 — compare to approved file</t>
        </is>
      </c>
      <c r="B51" s="6" t="inlineStr">
        <is>
          <t>Settings match last approved PCM600 project</t>
        </is>
      </c>
      <c r="C51" s="4" t="n"/>
      <c r="D51" s="4" t="n"/>
    </row>
    <row r="52">
      <c r="A52" s="3" t="inlineStr">
        <is>
          <t>CTprim/CTsec W1 correct</t>
        </is>
      </c>
      <c r="B52" s="6" t="inlineStr">
        <is>
          <t>As per Cover sheet</t>
        </is>
      </c>
      <c r="C52" s="4" t="n"/>
      <c r="D52" s="4" t="n"/>
    </row>
    <row r="53">
      <c r="A53" s="3" t="inlineStr">
        <is>
          <t>CTprim/CTsec W2 correct</t>
        </is>
      </c>
      <c r="B53" s="6" t="inlineStr">
        <is>
          <t>As per Cover sheet</t>
        </is>
      </c>
      <c r="C53" s="4" t="n"/>
      <c r="D53" s="4" t="n"/>
    </row>
    <row r="54">
      <c r="A54" s="3" t="inlineStr">
        <is>
          <t>CTprim/CTsec W3 correct (if 3-winding)</t>
        </is>
      </c>
      <c r="B54" s="6" t="inlineStr">
        <is>
          <t>N/A or as per Cover sheet</t>
        </is>
      </c>
      <c r="C54" s="4" t="n"/>
      <c r="D54" s="4" t="n"/>
    </row>
    <row r="55">
      <c r="A55" s="3" t="inlineStr">
        <is>
          <t>VTprim/VTsec correct (if VT fitted)</t>
        </is>
      </c>
      <c r="B55" s="6" t="inlineStr">
        <is>
          <t>As per Cover sheet</t>
        </is>
      </c>
      <c r="C55" s="4" t="n"/>
      <c r="D55" s="4" t="n"/>
    </row>
    <row r="56">
      <c r="A56" s="3" t="inlineStr">
        <is>
          <t>T2WPDIF / T3WPDIF differential settings correct</t>
        </is>
      </c>
      <c r="B56" s="6" t="inlineStr">
        <is>
          <t>Match approved coordination study</t>
        </is>
      </c>
      <c r="C56" s="4" t="n"/>
      <c r="D56" s="4" t="n"/>
    </row>
    <row r="57">
      <c r="A57" s="3" t="inlineStr">
        <is>
          <t>REFPDIF (87N) settings correct (if enabled)</t>
        </is>
      </c>
      <c r="B57" s="6" t="inlineStr">
        <is>
          <t>Match approved settings</t>
        </is>
      </c>
      <c r="C57" s="4" t="n"/>
      <c r="D57" s="4" t="n"/>
    </row>
    <row r="58">
      <c r="A58" s="3" t="inlineStr">
        <is>
          <t>GBASVAL (Ur, Ir, Sr) correct</t>
        </is>
      </c>
      <c r="B58" s="6" t="inlineStr">
        <is>
          <t>Match transformer nameplate</t>
        </is>
      </c>
      <c r="C58" s="4" t="n"/>
      <c r="D58" s="4" t="n"/>
    </row>
    <row r="59">
      <c r="A59" s="3" t="inlineStr">
        <is>
          <t>Active setting group as expected (ACTVGRP)</t>
        </is>
      </c>
      <c r="B59" s="6" t="inlineStr">
        <is>
          <t>Group 1 or as applicable</t>
        </is>
      </c>
      <c r="C59" s="4" t="n"/>
      <c r="D59" s="4" t="n"/>
    </row>
    <row r="60">
      <c r="A60" s="3" t="inlineStr">
        <is>
          <t>No unauthorised changes since last test</t>
        </is>
      </c>
      <c r="B60" s="6" t="inlineStr">
        <is>
          <t>Settings unchanged</t>
        </is>
      </c>
      <c r="C60" s="4" t="n"/>
      <c r="D60" s="4" t="n"/>
    </row>
  </sheetData>
  <mergeCells count="8">
    <mergeCell ref="A1:D1"/>
    <mergeCell ref="A3:D3"/>
    <mergeCell ref="A25:D25"/>
    <mergeCell ref="A49:D49"/>
    <mergeCell ref="A42:D42"/>
    <mergeCell ref="A36:D36"/>
    <mergeCell ref="A13:D13"/>
    <mergeCell ref="A14:D14"/>
  </mergeCells>
  <pageMargins left="0.4" right="0.4" top="0.6" bottom="0.6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3" customWidth="1" min="3" max="3"/>
    <col width="16" customWidth="1" min="4" max="4"/>
    <col width="16" customWidth="1" min="5" max="5"/>
    <col width="13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 ht="26" customHeight="1">
      <c r="A1" s="1" t="inlineStr">
        <is>
          <t>ANALOGUE INPUT VERIFICATION — PRIMARY VALUE CHECK</t>
        </is>
      </c>
    </row>
    <row r="2" ht="36" customHeight="1">
      <c r="A2" s="15" t="inlineStr">
        <is>
          <t>Verify the IED reports the correct PRIMARY value (Injected Secondary × CT or VT ratio). Use LHMI: Main menu → Measurements → [function block] to read primary values. All IED readings are in primary units (CTprim × secondary, VTprim × secondary).</t>
        </is>
      </c>
    </row>
    <row r="4">
      <c r="A4" s="2" t="inlineStr">
        <is>
          <t>4.1  WINDING 1 PHASE CURRENTS  (IA-W1, IB-W1, IC-W1)  [Ratio_CT_W1]</t>
        </is>
      </c>
    </row>
    <row r="5">
      <c r="A5" s="3" t="inlineStr">
        <is>
          <t>Ratio: Ratio_CT_W1  |  Tolerance: TolI_pct  (defined names on Cover sheet)</t>
        </is>
      </c>
    </row>
    <row r="6">
      <c r="A6" s="5" t="inlineStr">
        <is>
          <t>Channel</t>
        </is>
      </c>
      <c r="B6" s="5" t="inlineStr">
        <is>
          <t>Injected Sec.
(A or V)</t>
        </is>
      </c>
      <c r="C6" s="5" t="inlineStr">
        <is>
          <t>Inj. Angle
(°)</t>
        </is>
      </c>
      <c r="D6" s="5" t="inlineStr">
        <is>
          <t>Expected Primary
(auto)</t>
        </is>
      </c>
      <c r="E6" s="5" t="inlineStr">
        <is>
          <t>IED Primary
Reading</t>
        </is>
      </c>
      <c r="F6" s="5" t="inlineStr">
        <is>
          <t>IED Angle
Reading</t>
        </is>
      </c>
      <c r="G6" s="5" t="inlineStr">
        <is>
          <t>Mag
Err %</t>
        </is>
      </c>
      <c r="H6" s="5" t="inlineStr">
        <is>
          <t>Angle
Err °</t>
        </is>
      </c>
      <c r="I6" s="5" t="inlineStr">
        <is>
          <t>Mag
Tol %</t>
        </is>
      </c>
      <c r="J6" s="5" t="inlineStr">
        <is>
          <t>Ang
Tol °</t>
        </is>
      </c>
      <c r="K6" s="5" t="inlineStr"/>
      <c r="L6" s="5" t="inlineStr"/>
      <c r="M6" s="5" t="inlineStr">
        <is>
          <t>P/F</t>
        </is>
      </c>
    </row>
    <row r="7">
      <c r="A7" s="3" t="inlineStr">
        <is>
          <t>IA-W1 — Winding 1 Phase A</t>
        </is>
      </c>
      <c r="B7" s="4" t="n"/>
      <c r="C7" s="4" t="n"/>
      <c r="D7" s="16">
        <f>IFERROR(IF(B7="","",B7*Ratio_CT_W1),"—")</f>
        <v/>
      </c>
      <c r="E7" s="4" t="n"/>
      <c r="F7" s="4" t="n"/>
      <c r="G7" s="17">
        <f>IFERROR(IF(OR(D7="",E7=""),"",(E7-D7)/D7*100),"—")</f>
        <v/>
      </c>
      <c r="H7" s="18">
        <f>IFERROR(IF(OR(C7="",F7=""),"",F7-C7),"—")</f>
        <v/>
      </c>
      <c r="I7" s="19">
        <f>TolI_pct</f>
        <v/>
      </c>
      <c r="J7" s="19">
        <f>TolAngle_deg</f>
        <v/>
      </c>
      <c r="K7" s="8" t="n"/>
      <c r="L7" s="8" t="n"/>
      <c r="M7" s="20">
        <f>IFERROR(IF(AND(B7="",E7=""),"—",IF(OR(AND(ISNUMBER(G7),ABS(G7)&gt;TolI_pct),AND(ISNUMBER(H7),ABS(H7)&gt;TolAngle_deg)),"FAIL","PASS")),"—")</f>
        <v/>
      </c>
    </row>
    <row r="8">
      <c r="A8" s="3" t="inlineStr">
        <is>
          <t>IB-W1 — Winding 1 Phase B</t>
        </is>
      </c>
      <c r="B8" s="4" t="n"/>
      <c r="C8" s="4" t="n"/>
      <c r="D8" s="16">
        <f>IFERROR(IF(B8="","",B8*Ratio_CT_W1),"—")</f>
        <v/>
      </c>
      <c r="E8" s="4" t="n"/>
      <c r="F8" s="4" t="n"/>
      <c r="G8" s="17">
        <f>IFERROR(IF(OR(D8="",E8=""),"",(E8-D8)/D8*100),"—")</f>
        <v/>
      </c>
      <c r="H8" s="18">
        <f>IFERROR(IF(OR(C8="",F8=""),"",F8-C8),"—")</f>
        <v/>
      </c>
      <c r="I8" s="19">
        <f>TolI_pct</f>
        <v/>
      </c>
      <c r="J8" s="19">
        <f>TolAngle_deg</f>
        <v/>
      </c>
      <c r="K8" s="8" t="n"/>
      <c r="L8" s="8" t="n"/>
      <c r="M8" s="20">
        <f>IFERROR(IF(AND(B8="",E8=""),"—",IF(OR(AND(ISNUMBER(G8),ABS(G8)&gt;TolI_pct),AND(ISNUMBER(H8),ABS(H8)&gt;TolAngle_deg)),"FAIL","PASS")),"—")</f>
        <v/>
      </c>
    </row>
    <row r="9">
      <c r="A9" s="3" t="inlineStr">
        <is>
          <t>IC-W1 — Winding 1 Phase C</t>
        </is>
      </c>
      <c r="B9" s="4" t="n"/>
      <c r="C9" s="4" t="n"/>
      <c r="D9" s="16">
        <f>IFERROR(IF(B9="","",B9*Ratio_CT_W1),"—")</f>
        <v/>
      </c>
      <c r="E9" s="4" t="n"/>
      <c r="F9" s="4" t="n"/>
      <c r="G9" s="17">
        <f>IFERROR(IF(OR(D9="",E9=""),"",(E9-D9)/D9*100),"—")</f>
        <v/>
      </c>
      <c r="H9" s="18">
        <f>IFERROR(IF(OR(C9="",F9=""),"",F9-C9),"—")</f>
        <v/>
      </c>
      <c r="I9" s="19">
        <f>TolI_pct</f>
        <v/>
      </c>
      <c r="J9" s="19">
        <f>TolAngle_deg</f>
        <v/>
      </c>
      <c r="K9" s="8" t="n"/>
      <c r="L9" s="8" t="n"/>
      <c r="M9" s="20">
        <f>IFERROR(IF(AND(B9="",E9=""),"—",IF(OR(AND(ISNUMBER(G9),ABS(G9)&gt;TolI_pct),AND(ISNUMBER(H9),ABS(H9)&gt;TolAngle_deg)),"FAIL","PASS")),"—")</f>
        <v/>
      </c>
    </row>
    <row r="11">
      <c r="A11" s="2" t="inlineStr">
        <is>
          <t>4.2  WINDING 2 PHASE CURRENTS  (IA-W2, IB-W2, IC-W2)  [Ratio_CT_W2]</t>
        </is>
      </c>
    </row>
    <row r="12">
      <c r="A12" s="3" t="inlineStr">
        <is>
          <t>Ratio: Ratio_CT_W2  |  Tolerance: TolI_pct  (defined names on Cover sheet)</t>
        </is>
      </c>
    </row>
    <row r="13">
      <c r="A13" s="5" t="inlineStr">
        <is>
          <t>Channel</t>
        </is>
      </c>
      <c r="B13" s="5" t="inlineStr">
        <is>
          <t>Injected Sec.
(A or V)</t>
        </is>
      </c>
      <c r="C13" s="5" t="inlineStr">
        <is>
          <t>Inj. Angle
(°)</t>
        </is>
      </c>
      <c r="D13" s="5" t="inlineStr">
        <is>
          <t>Expected Primary
(auto)</t>
        </is>
      </c>
      <c r="E13" s="5" t="inlineStr">
        <is>
          <t>IED Primary
Reading</t>
        </is>
      </c>
      <c r="F13" s="5" t="inlineStr">
        <is>
          <t>IED Angle
Reading</t>
        </is>
      </c>
      <c r="G13" s="5" t="inlineStr">
        <is>
          <t>Mag
Err %</t>
        </is>
      </c>
      <c r="H13" s="5" t="inlineStr">
        <is>
          <t>Angle
Err °</t>
        </is>
      </c>
      <c r="I13" s="5" t="inlineStr">
        <is>
          <t>Mag
Tol %</t>
        </is>
      </c>
      <c r="J13" s="5" t="inlineStr">
        <is>
          <t>Ang
Tol °</t>
        </is>
      </c>
      <c r="K13" s="5" t="inlineStr"/>
      <c r="L13" s="5" t="inlineStr"/>
      <c r="M13" s="5" t="inlineStr">
        <is>
          <t>P/F</t>
        </is>
      </c>
    </row>
    <row r="14">
      <c r="A14" s="3" t="inlineStr">
        <is>
          <t>IA-W2 — Winding 2 Phase A</t>
        </is>
      </c>
      <c r="B14" s="4" t="n"/>
      <c r="C14" s="4" t="n"/>
      <c r="D14" s="16">
        <f>IFERROR(IF(B14="","",B14*Ratio_CT_W2),"—")</f>
        <v/>
      </c>
      <c r="E14" s="4" t="n"/>
      <c r="F14" s="4" t="n"/>
      <c r="G14" s="17">
        <f>IFERROR(IF(OR(D14="",E14=""),"",(E14-D14)/D14*100),"—")</f>
        <v/>
      </c>
      <c r="H14" s="18">
        <f>IFERROR(IF(OR(C14="",F14=""),"",F14-C14),"—")</f>
        <v/>
      </c>
      <c r="I14" s="19">
        <f>TolI_pct</f>
        <v/>
      </c>
      <c r="J14" s="19">
        <f>TolAngle_deg</f>
        <v/>
      </c>
      <c r="K14" s="8" t="n"/>
      <c r="L14" s="8" t="n"/>
      <c r="M14" s="20">
        <f>IFERROR(IF(AND(B14="",E14=""),"—",IF(OR(AND(ISNUMBER(G14),ABS(G14)&gt;TolI_pct),AND(ISNUMBER(H14),ABS(H14)&gt;TolAngle_deg)),"FAIL","PASS")),"—")</f>
        <v/>
      </c>
    </row>
    <row r="15">
      <c r="A15" s="3" t="inlineStr">
        <is>
          <t>IB-W2 — Winding 2 Phase B</t>
        </is>
      </c>
      <c r="B15" s="4" t="n"/>
      <c r="C15" s="4" t="n"/>
      <c r="D15" s="16">
        <f>IFERROR(IF(B15="","",B15*Ratio_CT_W2),"—")</f>
        <v/>
      </c>
      <c r="E15" s="4" t="n"/>
      <c r="F15" s="4" t="n"/>
      <c r="G15" s="17">
        <f>IFERROR(IF(OR(D15="",E15=""),"",(E15-D15)/D15*100),"—")</f>
        <v/>
      </c>
      <c r="H15" s="18">
        <f>IFERROR(IF(OR(C15="",F15=""),"",F15-C15),"—")</f>
        <v/>
      </c>
      <c r="I15" s="19">
        <f>TolI_pct</f>
        <v/>
      </c>
      <c r="J15" s="19">
        <f>TolAngle_deg</f>
        <v/>
      </c>
      <c r="K15" s="8" t="n"/>
      <c r="L15" s="8" t="n"/>
      <c r="M15" s="20">
        <f>IFERROR(IF(AND(B15="",E15=""),"—",IF(OR(AND(ISNUMBER(G15),ABS(G15)&gt;TolI_pct),AND(ISNUMBER(H15),ABS(H15)&gt;TolAngle_deg)),"FAIL","PASS")),"—")</f>
        <v/>
      </c>
    </row>
    <row r="16">
      <c r="A16" s="3" t="inlineStr">
        <is>
          <t>IC-W2 — Winding 2 Phase C</t>
        </is>
      </c>
      <c r="B16" s="4" t="n"/>
      <c r="C16" s="4" t="n"/>
      <c r="D16" s="16">
        <f>IFERROR(IF(B16="","",B16*Ratio_CT_W2),"—")</f>
        <v/>
      </c>
      <c r="E16" s="4" t="n"/>
      <c r="F16" s="4" t="n"/>
      <c r="G16" s="17">
        <f>IFERROR(IF(OR(D16="",E16=""),"",(E16-D16)/D16*100),"—")</f>
        <v/>
      </c>
      <c r="H16" s="18">
        <f>IFERROR(IF(OR(C16="",F16=""),"",F16-C16),"—")</f>
        <v/>
      </c>
      <c r="I16" s="19">
        <f>TolI_pct</f>
        <v/>
      </c>
      <c r="J16" s="19">
        <f>TolAngle_deg</f>
        <v/>
      </c>
      <c r="K16" s="8" t="n"/>
      <c r="L16" s="8" t="n"/>
      <c r="M16" s="20">
        <f>IFERROR(IF(AND(B16="",E16=""),"—",IF(OR(AND(ISNUMBER(G16),ABS(G16)&gt;TolI_pct),AND(ISNUMBER(H16),ABS(H16)&gt;TolAngle_deg)),"FAIL","PASS")),"—")</f>
        <v/>
      </c>
    </row>
    <row r="18">
      <c r="A18" s="2" t="inlineStr">
        <is>
          <t>4.3  WINDING 3 PHASE CURRENTS  (IA-W3, IB-W3, IC-W3)  [Ratio_CT_W3]  — if 3-winding</t>
        </is>
      </c>
    </row>
    <row r="19">
      <c r="A19" s="3" t="inlineStr">
        <is>
          <t>Ratio: Ratio_CT_W3  |  Tolerance: TolI_pct  (defined names on Cover sheet)</t>
        </is>
      </c>
    </row>
    <row r="20">
      <c r="A20" s="5" t="inlineStr">
        <is>
          <t>Channel</t>
        </is>
      </c>
      <c r="B20" s="5" t="inlineStr">
        <is>
          <t>Injected Sec.
(A or V)</t>
        </is>
      </c>
      <c r="C20" s="5" t="inlineStr">
        <is>
          <t>Inj. Angle
(°)</t>
        </is>
      </c>
      <c r="D20" s="5" t="inlineStr">
        <is>
          <t>Expected Primary
(auto)</t>
        </is>
      </c>
      <c r="E20" s="5" t="inlineStr">
        <is>
          <t>IED Primary
Reading</t>
        </is>
      </c>
      <c r="F20" s="5" t="inlineStr">
        <is>
          <t>IED Angle
Reading</t>
        </is>
      </c>
      <c r="G20" s="5" t="inlineStr">
        <is>
          <t>Mag
Err %</t>
        </is>
      </c>
      <c r="H20" s="5" t="inlineStr">
        <is>
          <t>Angle
Err °</t>
        </is>
      </c>
      <c r="I20" s="5" t="inlineStr">
        <is>
          <t>Mag
Tol %</t>
        </is>
      </c>
      <c r="J20" s="5" t="inlineStr">
        <is>
          <t>Ang
Tol °</t>
        </is>
      </c>
      <c r="K20" s="5" t="inlineStr"/>
      <c r="L20" s="5" t="inlineStr"/>
      <c r="M20" s="5" t="inlineStr">
        <is>
          <t>P/F</t>
        </is>
      </c>
    </row>
    <row r="21">
      <c r="A21" s="3" t="inlineStr">
        <is>
          <t>IA-W3 — Winding 3 Phase A</t>
        </is>
      </c>
      <c r="B21" s="4" t="n"/>
      <c r="C21" s="4" t="n"/>
      <c r="D21" s="16">
        <f>IFERROR(IF(B21="","",B21*Ratio_CT_W3),"—")</f>
        <v/>
      </c>
      <c r="E21" s="4" t="n"/>
      <c r="F21" s="4" t="n"/>
      <c r="G21" s="17">
        <f>IFERROR(IF(OR(D21="",E21=""),"",(E21-D21)/D21*100),"—")</f>
        <v/>
      </c>
      <c r="H21" s="18">
        <f>IFERROR(IF(OR(C21="",F21=""),"",F21-C21),"—")</f>
        <v/>
      </c>
      <c r="I21" s="19">
        <f>TolI_pct</f>
        <v/>
      </c>
      <c r="J21" s="19">
        <f>TolAngle_deg</f>
        <v/>
      </c>
      <c r="K21" s="8" t="n"/>
      <c r="L21" s="8" t="n"/>
      <c r="M21" s="20">
        <f>IFERROR(IF(AND(B21="",E21=""),"—",IF(OR(AND(ISNUMBER(G21),ABS(G21)&gt;TolI_pct),AND(ISNUMBER(H21),ABS(H21)&gt;TolAngle_deg)),"FAIL","PASS")),"—")</f>
        <v/>
      </c>
    </row>
    <row r="22">
      <c r="A22" s="3" t="inlineStr">
        <is>
          <t>IB-W3 — Winding 3 Phase B</t>
        </is>
      </c>
      <c r="B22" s="4" t="n"/>
      <c r="C22" s="4" t="n"/>
      <c r="D22" s="16">
        <f>IFERROR(IF(B22="","",B22*Ratio_CT_W3),"—")</f>
        <v/>
      </c>
      <c r="E22" s="4" t="n"/>
      <c r="F22" s="4" t="n"/>
      <c r="G22" s="17">
        <f>IFERROR(IF(OR(D22="",E22=""),"",(E22-D22)/D22*100),"—")</f>
        <v/>
      </c>
      <c r="H22" s="18">
        <f>IFERROR(IF(OR(C22="",F22=""),"",F22-C22),"—")</f>
        <v/>
      </c>
      <c r="I22" s="19">
        <f>TolI_pct</f>
        <v/>
      </c>
      <c r="J22" s="19">
        <f>TolAngle_deg</f>
        <v/>
      </c>
      <c r="K22" s="8" t="n"/>
      <c r="L22" s="8" t="n"/>
      <c r="M22" s="20">
        <f>IFERROR(IF(AND(B22="",E22=""),"—",IF(OR(AND(ISNUMBER(G22),ABS(G22)&gt;TolI_pct),AND(ISNUMBER(H22),ABS(H22)&gt;TolAngle_deg)),"FAIL","PASS")),"—")</f>
        <v/>
      </c>
    </row>
    <row r="23">
      <c r="A23" s="3" t="inlineStr">
        <is>
          <t>IC-W3 — Winding 3 Phase C</t>
        </is>
      </c>
      <c r="B23" s="4" t="n"/>
      <c r="C23" s="4" t="n"/>
      <c r="D23" s="16">
        <f>IFERROR(IF(B23="","",B23*Ratio_CT_W3),"—")</f>
        <v/>
      </c>
      <c r="E23" s="4" t="n"/>
      <c r="F23" s="4" t="n"/>
      <c r="G23" s="17">
        <f>IFERROR(IF(OR(D23="",E23=""),"",(E23-D23)/D23*100),"—")</f>
        <v/>
      </c>
      <c r="H23" s="18">
        <f>IFERROR(IF(OR(C23="",F23=""),"",F23-C23),"—")</f>
        <v/>
      </c>
      <c r="I23" s="19">
        <f>TolI_pct</f>
        <v/>
      </c>
      <c r="J23" s="19">
        <f>TolAngle_deg</f>
        <v/>
      </c>
      <c r="K23" s="8" t="n"/>
      <c r="L23" s="8" t="n"/>
      <c r="M23" s="20">
        <f>IFERROR(IF(AND(B23="",E23=""),"—",IF(OR(AND(ISNUMBER(G23),ABS(G23)&gt;TolI_pct),AND(ISNUMBER(H23),ABS(H23)&gt;TolAngle_deg)),"FAIL","PASS")),"—")</f>
        <v/>
      </c>
    </row>
    <row r="25">
      <c r="A25" s="2" t="inlineStr">
        <is>
          <t>4.4  VOLTAGE INPUTS  (VA, VB, VC)  [Ratio_VT]  — if VT fitted</t>
        </is>
      </c>
    </row>
    <row r="26">
      <c r="A26" s="3" t="inlineStr">
        <is>
          <t>Ratio: Ratio_VT  |  Tolerance: TolV_pct  (defined names on Cover sheet)</t>
        </is>
      </c>
    </row>
    <row r="27">
      <c r="A27" s="5" t="inlineStr">
        <is>
          <t>Channel</t>
        </is>
      </c>
      <c r="B27" s="5" t="inlineStr">
        <is>
          <t>Injected Sec.
(A or V)</t>
        </is>
      </c>
      <c r="C27" s="5" t="inlineStr">
        <is>
          <t>Inj. Angle
(°)</t>
        </is>
      </c>
      <c r="D27" s="5" t="inlineStr">
        <is>
          <t>Expected Primary
(auto)</t>
        </is>
      </c>
      <c r="E27" s="5" t="inlineStr">
        <is>
          <t>IED Primary
Reading</t>
        </is>
      </c>
      <c r="F27" s="5" t="inlineStr">
        <is>
          <t>IED Angle
Reading</t>
        </is>
      </c>
      <c r="G27" s="5" t="inlineStr">
        <is>
          <t>Mag
Err %</t>
        </is>
      </c>
      <c r="H27" s="5" t="inlineStr">
        <is>
          <t>Angle
Err °</t>
        </is>
      </c>
      <c r="I27" s="5" t="inlineStr">
        <is>
          <t>Mag
Tol %</t>
        </is>
      </c>
      <c r="J27" s="5" t="inlineStr">
        <is>
          <t>Ang
Tol °</t>
        </is>
      </c>
      <c r="K27" s="5" t="inlineStr"/>
      <c r="L27" s="5" t="inlineStr"/>
      <c r="M27" s="5" t="inlineStr">
        <is>
          <t>P/F</t>
        </is>
      </c>
    </row>
    <row r="28">
      <c r="A28" s="3" t="inlineStr">
        <is>
          <t>VA — Phase A voltage</t>
        </is>
      </c>
      <c r="B28" s="4" t="n"/>
      <c r="C28" s="4" t="n"/>
      <c r="D28" s="16">
        <f>IFERROR(IF(B28="","",B28*Ratio_VT),"—")</f>
        <v/>
      </c>
      <c r="E28" s="4" t="n"/>
      <c r="F28" s="4" t="n"/>
      <c r="G28" s="17">
        <f>IFERROR(IF(OR(D28="",E28=""),"",(E28-D28)/D28*100),"—")</f>
        <v/>
      </c>
      <c r="H28" s="18">
        <f>IFERROR(IF(OR(C28="",F28=""),"",F28-C28),"—")</f>
        <v/>
      </c>
      <c r="I28" s="19">
        <f>TolV_pct</f>
        <v/>
      </c>
      <c r="J28" s="19">
        <f>TolAngle_deg</f>
        <v/>
      </c>
      <c r="K28" s="8" t="n"/>
      <c r="L28" s="8" t="n"/>
      <c r="M28" s="20">
        <f>IFERROR(IF(AND(B28="",E28=""),"—",IF(OR(AND(ISNUMBER(G28),ABS(G28)&gt;TolV_pct),AND(ISNUMBER(H28),ABS(H28)&gt;TolAngle_deg)),"FAIL","PASS")),"—")</f>
        <v/>
      </c>
    </row>
    <row r="29">
      <c r="A29" s="3" t="inlineStr">
        <is>
          <t>VB — Phase B voltage</t>
        </is>
      </c>
      <c r="B29" s="4" t="n"/>
      <c r="C29" s="4" t="n"/>
      <c r="D29" s="16">
        <f>IFERROR(IF(B29="","",B29*Ratio_VT),"—")</f>
        <v/>
      </c>
      <c r="E29" s="4" t="n"/>
      <c r="F29" s="4" t="n"/>
      <c r="G29" s="17">
        <f>IFERROR(IF(OR(D29="",E29=""),"",(E29-D29)/D29*100),"—")</f>
        <v/>
      </c>
      <c r="H29" s="18">
        <f>IFERROR(IF(OR(C29="",F29=""),"",F29-C29),"—")</f>
        <v/>
      </c>
      <c r="I29" s="19">
        <f>TolV_pct</f>
        <v/>
      </c>
      <c r="J29" s="19">
        <f>TolAngle_deg</f>
        <v/>
      </c>
      <c r="K29" s="8" t="n"/>
      <c r="L29" s="8" t="n"/>
      <c r="M29" s="20">
        <f>IFERROR(IF(AND(B29="",E29=""),"—",IF(OR(AND(ISNUMBER(G29),ABS(G29)&gt;TolV_pct),AND(ISNUMBER(H29),ABS(H29)&gt;TolAngle_deg)),"FAIL","PASS")),"—")</f>
        <v/>
      </c>
    </row>
    <row r="30">
      <c r="A30" s="3" t="inlineStr">
        <is>
          <t>VC — Phase C voltage</t>
        </is>
      </c>
      <c r="B30" s="4" t="n"/>
      <c r="C30" s="4" t="n"/>
      <c r="D30" s="16">
        <f>IFERROR(IF(B30="","",B30*Ratio_VT),"—")</f>
        <v/>
      </c>
      <c r="E30" s="4" t="n"/>
      <c r="F30" s="4" t="n"/>
      <c r="G30" s="17">
        <f>IFERROR(IF(OR(D30="",E30=""),"",(E30-D30)/D30*100),"—")</f>
        <v/>
      </c>
      <c r="H30" s="18">
        <f>IFERROR(IF(OR(C30="",F30=""),"",F30-C30),"—")</f>
        <v/>
      </c>
      <c r="I30" s="19">
        <f>TolV_pct</f>
        <v/>
      </c>
      <c r="J30" s="19">
        <f>TolAngle_deg</f>
        <v/>
      </c>
      <c r="K30" s="8" t="n"/>
      <c r="L30" s="8" t="n"/>
      <c r="M30" s="20">
        <f>IFERROR(IF(AND(B30="",E30=""),"—",IF(OR(AND(ISNUMBER(G30),ABS(G30)&gt;TolV_pct),AND(ISNUMBER(H30),ABS(H30)&gt;TolAngle_deg)),"FAIL","PASS")),"—")</f>
        <v/>
      </c>
    </row>
    <row r="32">
      <c r="A32" s="2" t="inlineStr">
        <is>
          <t>4.5  DIFFERENTIAL BALANCE CHECK  (LHMI: Main menu → Measurements → T2WPDIF / T3WPDIF → IOP, IRT)</t>
        </is>
      </c>
    </row>
    <row r="33" ht="44" customHeight="1">
      <c r="A33" s="15" t="inlineStr">
        <is>
          <t>Under balanced load: IOP (operate current) should be ≈ 0.0 pu, IRT (bias / restraint) ≈ load current in pu. If IOP/IRT &gt; 0.05 pu, investigate CT polarity, CT_WyePoint direction settings, and CT connections. Currents are displayed in pu of GBASVAL Ir. Accept threshold: IOP ≤ 0.05 pu.</t>
        </is>
      </c>
    </row>
    <row r="34">
      <c r="A34" s="5" t="inlineStr">
        <is>
          <t>Diff Function</t>
        </is>
      </c>
      <c r="B34" s="5" t="inlineStr">
        <is>
          <t>IOP
(pu of Ir)</t>
        </is>
      </c>
      <c r="C34" s="5" t="inlineStr">
        <is>
          <t>IRT
(pu of Ir)</t>
        </is>
      </c>
      <c r="D34" s="5" t="inlineStr">
        <is>
          <t>IOP/IRT</t>
        </is>
      </c>
      <c r="E34" s="5" t="inlineStr">
        <is>
          <t>Accept if
IOP ≤ 0.05 pu</t>
        </is>
      </c>
      <c r="F34" s="5" t="inlineStr">
        <is>
          <t>2nd Harm
(pu)</t>
        </is>
      </c>
      <c r="G34" s="5" t="inlineStr">
        <is>
          <t>5th Harm
(pu)</t>
        </is>
      </c>
      <c r="H34" s="5" t="inlineStr"/>
      <c r="I34" s="5" t="inlineStr"/>
      <c r="J34" s="5" t="inlineStr"/>
      <c r="K34" s="5" t="inlineStr"/>
      <c r="L34" s="5" t="inlineStr"/>
      <c r="M34" s="5" t="inlineStr">
        <is>
          <t>Result</t>
        </is>
      </c>
    </row>
    <row r="35">
      <c r="A35" s="3" t="inlineStr">
        <is>
          <t>T2WPDIF (87T) — 2-winding differential</t>
        </is>
      </c>
      <c r="B35" s="4" t="n"/>
      <c r="C35" s="4" t="n"/>
      <c r="D35" s="21">
        <f>IFERROR(IF(OR(B35="",C35=""),"",B35/C35),"—")</f>
        <v/>
      </c>
      <c r="E35" s="6" t="inlineStr">
        <is>
          <t>IOP ≤ 0.05 pu</t>
        </is>
      </c>
      <c r="F35" s="4" t="n"/>
      <c r="G35" s="4" t="n"/>
      <c r="H35" s="8" t="n"/>
      <c r="I35" s="8" t="n"/>
      <c r="J35" s="8" t="n"/>
      <c r="K35" s="8" t="n"/>
      <c r="L35" s="8" t="n"/>
      <c r="M35" s="20">
        <f>IFERROR(IF(B35="","—",IF(AND(ISNUMBER(B35),B35&lt;=0.05),"PASS","FAIL")),"—")</f>
        <v/>
      </c>
    </row>
    <row r="36">
      <c r="A36" s="3" t="inlineStr">
        <is>
          <t>T3WPDIF (87T) — 3-winding differential (if fitted)</t>
        </is>
      </c>
      <c r="B36" s="4" t="n"/>
      <c r="C36" s="4" t="n"/>
      <c r="D36" s="21">
        <f>IFERROR(IF(OR(B36="",C36=""),"",B36/C36),"—")</f>
        <v/>
      </c>
      <c r="E36" s="6" t="inlineStr">
        <is>
          <t>IOP ≤ 0.05 pu</t>
        </is>
      </c>
      <c r="F36" s="4" t="n"/>
      <c r="G36" s="4" t="n"/>
      <c r="H36" s="8" t="n"/>
      <c r="I36" s="8" t="n"/>
      <c r="J36" s="8" t="n"/>
      <c r="K36" s="8" t="n"/>
      <c r="L36" s="8" t="n"/>
      <c r="M36" s="20">
        <f>IFERROR(IF(B36="","—",IF(AND(ISNUMBER(B36),B36&lt;=0.05),"PASS","FAIL")),"—")</f>
        <v/>
      </c>
    </row>
    <row r="37">
      <c r="A37" s="3" t="inlineStr">
        <is>
          <t>HZPDIF (87) — High impedance diff (if fitted)</t>
        </is>
      </c>
      <c r="B37" s="4" t="n"/>
      <c r="C37" s="4" t="n"/>
      <c r="D37" s="21">
        <f>IFERROR(IF(OR(B37="",C37=""),"",B37/C37),"—")</f>
        <v/>
      </c>
      <c r="E37" s="6" t="inlineStr">
        <is>
          <t>IOP ≤ 0.05 pu</t>
        </is>
      </c>
      <c r="F37" s="4" t="n"/>
      <c r="G37" s="4" t="n"/>
      <c r="H37" s="8" t="n"/>
      <c r="I37" s="8" t="n"/>
      <c r="J37" s="8" t="n"/>
      <c r="K37" s="8" t="n"/>
      <c r="L37" s="8" t="n"/>
      <c r="M37" s="20">
        <f>IFERROR(IF(B37="","—",IF(AND(ISNUMBER(B37),B37&lt;=0.05),"PASS","FAIL")),"—")</f>
        <v/>
      </c>
    </row>
  </sheetData>
  <mergeCells count="12">
    <mergeCell ref="A19:M19"/>
    <mergeCell ref="A1:M1"/>
    <mergeCell ref="A5:M5"/>
    <mergeCell ref="A32:M32"/>
    <mergeCell ref="A33:M33"/>
    <mergeCell ref="A12:M12"/>
    <mergeCell ref="A4:M4"/>
    <mergeCell ref="A18:M18"/>
    <mergeCell ref="A26:M26"/>
    <mergeCell ref="A25:M25"/>
    <mergeCell ref="A2:M2"/>
    <mergeCell ref="A11:M11"/>
  </mergeCells>
  <conditionalFormatting sqref="M1:M300">
    <cfRule type="cellIs" priority="1" operator="equal" dxfId="0">
      <formula>"PASS"</formula>
    </cfRule>
    <cfRule type="cellIs" priority="2" operator="equal" dxfId="1">
      <formula>"FAIL"</formula>
    </cfRule>
  </conditionalFormatting>
  <pageMargins left="0.4" right="0.4" top="0.6" bottom="0.6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2" customWidth="1" min="3" max="3"/>
    <col width="26" customWidth="1" min="4" max="4"/>
    <col width="12" customWidth="1" min="5" max="5"/>
  </cols>
  <sheetData>
    <row r="1" ht="26" customHeight="1">
      <c r="A1" s="1" t="inlineStr">
        <is>
          <t>BINARY I/O VERIFICATION</t>
        </is>
      </c>
    </row>
    <row r="3">
      <c r="A3" s="2" t="inlineStr">
        <is>
          <t>5.1  BINARY INPUTS — Pickup Verification</t>
        </is>
      </c>
    </row>
    <row r="4" ht="30" customHeight="1">
      <c r="A4" s="15" t="inlineStr">
        <is>
          <t>Apply rated control voltage to each binary input. Navigate LHMI: Main menu → Test → Binary inputs — verify status changes 0→1. Alternatively view in PCM600 Signal Monitor.</t>
        </is>
      </c>
    </row>
    <row r="5">
      <c r="A5" s="5" t="inlineStr">
        <is>
          <t>Input No.</t>
        </is>
      </c>
      <c r="B5" s="5" t="inlineStr">
        <is>
          <t>Function Label (edit from schematics)</t>
        </is>
      </c>
      <c r="C5" s="5" t="inlineStr">
        <is>
          <t>Voltage Applied</t>
        </is>
      </c>
      <c r="D5" s="5" t="inlineStr">
        <is>
          <t>LHMI / PCM600 Verification</t>
        </is>
      </c>
      <c r="E5" s="5" t="inlineStr">
        <is>
          <t>Result</t>
        </is>
      </c>
    </row>
    <row r="6">
      <c r="A6" s="13" t="inlineStr">
        <is>
          <t>BI01</t>
        </is>
      </c>
      <c r="B6" s="4" t="inlineStr">
        <is>
          <t>Binary Input 1 — edit label</t>
        </is>
      </c>
      <c r="C6" s="4" t="n"/>
      <c r="D6" s="6" t="inlineStr">
        <is>
          <t>LHMI: Test → Binary inputs</t>
        </is>
      </c>
      <c r="E6" s="4" t="n"/>
    </row>
    <row r="7">
      <c r="A7" s="13" t="inlineStr">
        <is>
          <t>BI02</t>
        </is>
      </c>
      <c r="B7" s="4" t="inlineStr">
        <is>
          <t>Binary Input 2 — edit label</t>
        </is>
      </c>
      <c r="C7" s="4" t="n"/>
      <c r="D7" s="6" t="inlineStr">
        <is>
          <t>LHMI: Test → Binary inputs</t>
        </is>
      </c>
      <c r="E7" s="4" t="n"/>
    </row>
    <row r="8">
      <c r="A8" s="13" t="inlineStr">
        <is>
          <t>BI03</t>
        </is>
      </c>
      <c r="B8" s="4" t="inlineStr">
        <is>
          <t>Binary Input 3 — edit label</t>
        </is>
      </c>
      <c r="C8" s="4" t="n"/>
      <c r="D8" s="6" t="inlineStr">
        <is>
          <t>LHMI: Test → Binary inputs</t>
        </is>
      </c>
      <c r="E8" s="4" t="n"/>
    </row>
    <row r="9">
      <c r="A9" s="13" t="inlineStr">
        <is>
          <t>BI04</t>
        </is>
      </c>
      <c r="B9" s="4" t="inlineStr">
        <is>
          <t>Binary Input 4 — edit label</t>
        </is>
      </c>
      <c r="C9" s="4" t="n"/>
      <c r="D9" s="6" t="inlineStr">
        <is>
          <t>LHMI: Test → Binary inputs</t>
        </is>
      </c>
      <c r="E9" s="4" t="n"/>
    </row>
    <row r="10">
      <c r="A10" s="13" t="inlineStr">
        <is>
          <t>BI05</t>
        </is>
      </c>
      <c r="B10" s="4" t="inlineStr">
        <is>
          <t>Binary Input 5 — edit label</t>
        </is>
      </c>
      <c r="C10" s="4" t="n"/>
      <c r="D10" s="6" t="inlineStr">
        <is>
          <t>LHMI: Test → Binary inputs</t>
        </is>
      </c>
      <c r="E10" s="4" t="n"/>
    </row>
    <row r="11">
      <c r="A11" s="13" t="inlineStr">
        <is>
          <t>BI06</t>
        </is>
      </c>
      <c r="B11" s="4" t="inlineStr">
        <is>
          <t>Binary Input 6 — edit label</t>
        </is>
      </c>
      <c r="C11" s="4" t="n"/>
      <c r="D11" s="6" t="inlineStr">
        <is>
          <t>LHMI: Test → Binary inputs</t>
        </is>
      </c>
      <c r="E11" s="4" t="n"/>
    </row>
    <row r="12">
      <c r="A12" s="13" t="inlineStr">
        <is>
          <t>BI07</t>
        </is>
      </c>
      <c r="B12" s="4" t="inlineStr">
        <is>
          <t>Binary Input 7 — edit label</t>
        </is>
      </c>
      <c r="C12" s="4" t="n"/>
      <c r="D12" s="6" t="inlineStr">
        <is>
          <t>LHMI: Test → Binary inputs</t>
        </is>
      </c>
      <c r="E12" s="4" t="n"/>
    </row>
    <row r="13">
      <c r="A13" s="13" t="inlineStr">
        <is>
          <t>BI08</t>
        </is>
      </c>
      <c r="B13" s="4" t="inlineStr">
        <is>
          <t>Binary Input 8 — edit label</t>
        </is>
      </c>
      <c r="C13" s="4" t="n"/>
      <c r="D13" s="6" t="inlineStr">
        <is>
          <t>LHMI: Test → Binary inputs</t>
        </is>
      </c>
      <c r="E13" s="4" t="n"/>
    </row>
    <row r="15">
      <c r="A15" s="2" t="inlineStr">
        <is>
          <t>5.2  BINARY OUTPUTS — Continuity Test</t>
        </is>
      </c>
    </row>
    <row r="16" ht="30" customHeight="1">
      <c r="A16" s="15" t="inlineStr">
        <is>
          <t>Use LHMI: Main menu → Test → Binary outputs to force each output. Verify contact continuity through wiring to trip coil / alarm circuit. Restore all outputs to normal after test — exit Test mode.</t>
        </is>
      </c>
    </row>
    <row r="17">
      <c r="A17" s="5" t="inlineStr">
        <is>
          <t>Output No.</t>
        </is>
      </c>
      <c r="B17" s="5" t="inlineStr">
        <is>
          <t>Function Label</t>
        </is>
      </c>
      <c r="C17" s="5" t="inlineStr">
        <is>
          <t>LHMI Force Method</t>
        </is>
      </c>
      <c r="D17" s="5" t="inlineStr">
        <is>
          <t>Expected Result</t>
        </is>
      </c>
      <c r="E17" s="5" t="inlineStr">
        <is>
          <t>P/F</t>
        </is>
      </c>
    </row>
    <row r="18">
      <c r="A18" s="13" t="inlineStr">
        <is>
          <t>BO01</t>
        </is>
      </c>
      <c r="B18" s="4" t="inlineStr">
        <is>
          <t>Binary Output 1 — edit label</t>
        </is>
      </c>
      <c r="C18" s="6" t="inlineStr">
        <is>
          <t>LHMI: Test → Binary outputs</t>
        </is>
      </c>
      <c r="D18" s="6" t="inlineStr">
        <is>
          <t>Contact closes — verify continuity</t>
        </is>
      </c>
      <c r="E18" s="4" t="n"/>
    </row>
    <row r="19">
      <c r="A19" s="13" t="inlineStr">
        <is>
          <t>BO02</t>
        </is>
      </c>
      <c r="B19" s="4" t="inlineStr">
        <is>
          <t>Binary Output 2 — edit label</t>
        </is>
      </c>
      <c r="C19" s="6" t="inlineStr">
        <is>
          <t>LHMI: Test → Binary outputs</t>
        </is>
      </c>
      <c r="D19" s="6" t="inlineStr">
        <is>
          <t>Contact closes — verify continuity</t>
        </is>
      </c>
      <c r="E19" s="4" t="n"/>
    </row>
    <row r="20">
      <c r="A20" s="13" t="inlineStr">
        <is>
          <t>BO03</t>
        </is>
      </c>
      <c r="B20" s="4" t="inlineStr">
        <is>
          <t>Binary Output 3 — edit label</t>
        </is>
      </c>
      <c r="C20" s="6" t="inlineStr">
        <is>
          <t>LHMI: Test → Binary outputs</t>
        </is>
      </c>
      <c r="D20" s="6" t="inlineStr">
        <is>
          <t>Contact closes — verify continuity</t>
        </is>
      </c>
      <c r="E20" s="4" t="n"/>
    </row>
    <row r="21">
      <c r="A21" s="13" t="inlineStr">
        <is>
          <t>BO04</t>
        </is>
      </c>
      <c r="B21" s="4" t="inlineStr">
        <is>
          <t>Binary Output 4 — edit label</t>
        </is>
      </c>
      <c r="C21" s="6" t="inlineStr">
        <is>
          <t>LHMI: Test → Binary outputs</t>
        </is>
      </c>
      <c r="D21" s="6" t="inlineStr">
        <is>
          <t>Contact closes — verify continuity</t>
        </is>
      </c>
      <c r="E21" s="4" t="n"/>
    </row>
    <row r="22">
      <c r="A22" s="13" t="inlineStr">
        <is>
          <t>BO05</t>
        </is>
      </c>
      <c r="B22" s="4" t="inlineStr">
        <is>
          <t>Binary Output 5 — edit label</t>
        </is>
      </c>
      <c r="C22" s="6" t="inlineStr">
        <is>
          <t>LHMI: Test → Binary outputs</t>
        </is>
      </c>
      <c r="D22" s="6" t="inlineStr">
        <is>
          <t>Contact closes — verify continuity</t>
        </is>
      </c>
      <c r="E22" s="4" t="n"/>
    </row>
    <row r="23">
      <c r="A23" s="13" t="inlineStr">
        <is>
          <t>BO06</t>
        </is>
      </c>
      <c r="B23" s="4" t="inlineStr">
        <is>
          <t>Binary Output 6 — edit label</t>
        </is>
      </c>
      <c r="C23" s="6" t="inlineStr">
        <is>
          <t>LHMI: Test → Binary outputs</t>
        </is>
      </c>
      <c r="D23" s="6" t="inlineStr">
        <is>
          <t>Contact closes — verify continuity</t>
        </is>
      </c>
      <c r="E23" s="4" t="n"/>
    </row>
    <row r="24">
      <c r="A24" s="13" t="inlineStr">
        <is>
          <t>BO07</t>
        </is>
      </c>
      <c r="B24" s="4" t="inlineStr">
        <is>
          <t>Binary Output 7 — edit label</t>
        </is>
      </c>
      <c r="C24" s="6" t="inlineStr">
        <is>
          <t>LHMI: Test → Binary outputs</t>
        </is>
      </c>
      <c r="D24" s="6" t="inlineStr">
        <is>
          <t>Contact closes — verify continuity</t>
        </is>
      </c>
      <c r="E24" s="4" t="n"/>
    </row>
    <row r="25">
      <c r="A25" s="13" t="inlineStr">
        <is>
          <t>BO08</t>
        </is>
      </c>
      <c r="B25" s="4" t="inlineStr">
        <is>
          <t>Binary Output 8 — edit label</t>
        </is>
      </c>
      <c r="C25" s="6" t="inlineStr">
        <is>
          <t>LHMI: Test → Binary outputs</t>
        </is>
      </c>
      <c r="D25" s="6" t="inlineStr">
        <is>
          <t>Contact closes — verify continuity</t>
        </is>
      </c>
      <c r="E25" s="4" t="n"/>
    </row>
  </sheetData>
  <mergeCells count="5">
    <mergeCell ref="A4:E4"/>
    <mergeCell ref="A16:E16"/>
    <mergeCell ref="A15:E15"/>
    <mergeCell ref="A1:E1"/>
    <mergeCell ref="A3:E3"/>
  </mergeCells>
  <pageMargins left="0.4" right="0.4" top="0.6" bottom="0.6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44" customWidth="1" min="3" max="3"/>
    <col width="14" customWidth="1" min="4" max="4"/>
    <col width="16" customWidth="1" min="5" max="5"/>
    <col width="12" customWidth="1" min="6" max="6"/>
  </cols>
  <sheetData>
    <row r="1" ht="26" customHeight="1">
      <c r="A1" s="1" t="inlineStr">
        <is>
          <t>PROTECTION ELEMENT TRACKER</t>
        </is>
      </c>
    </row>
    <row r="3">
      <c r="A3" s="5" t="inlineStr">
        <is>
          <t>#</t>
        </is>
      </c>
      <c r="B3" s="5" t="inlineStr">
        <is>
          <t>IEC 61850 / ANSI</t>
        </is>
      </c>
      <c r="C3" s="5" t="inlineStr">
        <is>
          <t>Description</t>
        </is>
      </c>
      <c r="D3" s="5" t="inlineStr">
        <is>
          <t>Enabled
(Y / N / NA)</t>
        </is>
      </c>
      <c r="E3" s="5" t="inlineStr">
        <is>
          <t>Test Result Row</t>
        </is>
      </c>
      <c r="F3" s="5" t="inlineStr">
        <is>
          <t>Result</t>
        </is>
      </c>
    </row>
    <row r="4">
      <c r="A4" s="22" t="n">
        <v>1</v>
      </c>
      <c r="B4" s="13" t="inlineStr">
        <is>
          <t>T2WPDIF (87T)</t>
        </is>
      </c>
      <c r="C4" s="7" t="inlineStr">
        <is>
          <t>2-Winding transformer differential — restrained (IminOp, SlopeA/B)</t>
        </is>
      </c>
      <c r="D4" s="4" t="n"/>
      <c r="E4" s="4" t="n"/>
      <c r="F4" s="4" t="n"/>
    </row>
    <row r="5">
      <c r="A5" s="23" t="n">
        <v>2</v>
      </c>
      <c r="B5" s="13" t="inlineStr">
        <is>
          <t>T2WPDIF-U (87T)</t>
        </is>
      </c>
      <c r="C5" s="24" t="inlineStr">
        <is>
          <t>2-Winding transformer differential — unrestrained (IdMinUnre)</t>
        </is>
      </c>
      <c r="D5" s="4" t="n"/>
      <c r="E5" s="4" t="n"/>
      <c r="F5" s="4" t="n"/>
    </row>
    <row r="6">
      <c r="A6" s="22" t="n">
        <v>3</v>
      </c>
      <c r="B6" s="13" t="inlineStr">
        <is>
          <t>T3WPDIF (87T)</t>
        </is>
      </c>
      <c r="C6" s="7" t="inlineStr">
        <is>
          <t>3-Winding transformer differential — restrained (if fitted)</t>
        </is>
      </c>
      <c r="D6" s="4" t="n"/>
      <c r="E6" s="4" t="n"/>
      <c r="F6" s="4" t="n"/>
    </row>
    <row r="7">
      <c r="A7" s="23" t="n">
        <v>4</v>
      </c>
      <c r="B7" s="13" t="inlineStr">
        <is>
          <t>HZPDIF (87)</t>
        </is>
      </c>
      <c r="C7" s="24" t="inlineStr">
        <is>
          <t>High impedance differential protection, single phase (if fitted)</t>
        </is>
      </c>
      <c r="D7" s="4" t="n"/>
      <c r="E7" s="4" t="n"/>
      <c r="F7" s="4" t="n"/>
    </row>
    <row r="8">
      <c r="A8" s="22" t="n">
        <v>5</v>
      </c>
      <c r="B8" s="13" t="inlineStr">
        <is>
          <t>REFPDIF (87N)</t>
        </is>
      </c>
      <c r="C8" s="7" t="inlineStr">
        <is>
          <t>Restricted earth fault — low impedance differential (if fitted)</t>
        </is>
      </c>
      <c r="D8" s="4" t="n"/>
      <c r="E8" s="4" t="n"/>
      <c r="F8" s="4" t="n"/>
    </row>
    <row r="9">
      <c r="A9" s="23" t="n">
        <v>6</v>
      </c>
      <c r="B9" s="13" t="inlineStr">
        <is>
          <t>PSTPDIF (87T)</t>
        </is>
      </c>
      <c r="C9" s="24" t="inlineStr">
        <is>
          <t>Self-adaptive 2-winding transformer differential (if fitted)</t>
        </is>
      </c>
      <c r="D9" s="4" t="n"/>
      <c r="E9" s="4" t="n"/>
      <c r="F9" s="4" t="n"/>
    </row>
    <row r="10">
      <c r="A10" s="22" t="n">
        <v>7</v>
      </c>
      <c r="B10" s="13" t="inlineStr">
        <is>
          <t>OEXPVPH (24)</t>
        </is>
      </c>
      <c r="C10" s="7" t="inlineStr">
        <is>
          <t>Overexcitation / Volts-per-Hertz protection (if VT fitted)</t>
        </is>
      </c>
      <c r="D10" s="4" t="n"/>
      <c r="E10" s="4" t="n"/>
      <c r="F10" s="4" t="n"/>
    </row>
    <row r="11">
      <c r="A11" s="23" t="n">
        <v>8</v>
      </c>
      <c r="B11" s="13" t="inlineStr">
        <is>
          <t>CCSSPVC (87CCS)</t>
        </is>
      </c>
      <c r="C11" s="24" t="inlineStr">
        <is>
          <t>Current circuit supervision (CCS) — open CT detection</t>
        </is>
      </c>
      <c r="D11" s="4" t="n"/>
      <c r="E11" s="4" t="n"/>
      <c r="F11" s="4" t="n"/>
    </row>
    <row r="12">
      <c r="A12" s="22" t="n">
        <v>9</v>
      </c>
      <c r="B12" s="13" t="inlineStr">
        <is>
          <t>PHPIOC (50)</t>
        </is>
      </c>
      <c r="C12" s="7" t="inlineStr">
        <is>
          <t>Instantaneous phase overcurrent — W1 or W2 side</t>
        </is>
      </c>
      <c r="D12" s="4" t="n"/>
      <c r="E12" s="4" t="n"/>
      <c r="F12" s="4" t="n"/>
    </row>
    <row r="13">
      <c r="A13" s="23" t="n">
        <v>10</v>
      </c>
      <c r="B13" s="13" t="inlineStr">
        <is>
          <t>OC4PTOC-W1 (51/67)</t>
        </is>
      </c>
      <c r="C13" s="24" t="inlineStr">
        <is>
          <t>Directional phase TOC, 4 steps — Winding 1 side</t>
        </is>
      </c>
      <c r="D13" s="4" t="n"/>
      <c r="E13" s="4" t="n"/>
      <c r="F13" s="4" t="n"/>
    </row>
    <row r="14">
      <c r="A14" s="22" t="n">
        <v>11</v>
      </c>
      <c r="B14" s="13" t="inlineStr">
        <is>
          <t>OC4PTOC-W2 (51/67)</t>
        </is>
      </c>
      <c r="C14" s="7" t="inlineStr">
        <is>
          <t>Directional phase TOC, 4 steps — Winding 2 side</t>
        </is>
      </c>
      <c r="D14" s="4" t="n"/>
      <c r="E14" s="4" t="n"/>
      <c r="F14" s="4" t="n"/>
    </row>
    <row r="15">
      <c r="A15" s="23" t="n">
        <v>12</v>
      </c>
      <c r="B15" s="13" t="inlineStr">
        <is>
          <t>EFPIOC (50N)</t>
        </is>
      </c>
      <c r="C15" s="24" t="inlineStr">
        <is>
          <t>Instantaneous residual overcurrent</t>
        </is>
      </c>
      <c r="D15" s="4" t="n"/>
      <c r="E15" s="4" t="n"/>
      <c r="F15" s="4" t="n"/>
    </row>
    <row r="16">
      <c r="A16" s="22" t="n">
        <v>13</v>
      </c>
      <c r="B16" s="13" t="inlineStr">
        <is>
          <t>EF4PTOC-W1 (51N/67N)</t>
        </is>
      </c>
      <c r="C16" s="7" t="inlineStr">
        <is>
          <t>Directional residual TOC, 4 steps — Winding 1</t>
        </is>
      </c>
      <c r="D16" s="4" t="n"/>
      <c r="E16" s="4" t="n"/>
      <c r="F16" s="4" t="n"/>
    </row>
    <row r="17">
      <c r="A17" s="23" t="n">
        <v>14</v>
      </c>
      <c r="B17" s="13" t="inlineStr">
        <is>
          <t>EF4PTOC-W2 (51N/67N)</t>
        </is>
      </c>
      <c r="C17" s="24" t="inlineStr">
        <is>
          <t>Directional residual TOC, 4 steps — Winding 2</t>
        </is>
      </c>
      <c r="D17" s="4" t="n"/>
      <c r="E17" s="4" t="n"/>
      <c r="F17" s="4" t="n"/>
    </row>
    <row r="18">
      <c r="A18" s="22" t="n">
        <v>15</v>
      </c>
      <c r="B18" s="13" t="inlineStr">
        <is>
          <t>NS4PTOC (46I2)</t>
        </is>
      </c>
      <c r="C18" s="7" t="inlineStr">
        <is>
          <t>Negative-phase-sequence overcurrent, 4 steps</t>
        </is>
      </c>
      <c r="D18" s="4" t="n"/>
      <c r="E18" s="4" t="n"/>
      <c r="F18" s="4" t="n"/>
    </row>
    <row r="19">
      <c r="A19" s="23" t="n">
        <v>16</v>
      </c>
      <c r="B19" s="13" t="inlineStr">
        <is>
          <t>SDEPSDE (67N)</t>
        </is>
      </c>
      <c r="C19" s="24" t="inlineStr">
        <is>
          <t>Sensitive directional residual OC and power protection (if fitted)</t>
        </is>
      </c>
      <c r="D19" s="4" t="n"/>
      <c r="E19" s="4" t="n"/>
      <c r="F19" s="4" t="n"/>
    </row>
    <row r="20">
      <c r="A20" s="22" t="n">
        <v>17</v>
      </c>
      <c r="B20" s="13" t="inlineStr">
        <is>
          <t>VRPVOC (51V)</t>
        </is>
      </c>
      <c r="C20" s="7" t="inlineStr">
        <is>
          <t>Voltage-restrained time overcurrent (if VT fitted)</t>
        </is>
      </c>
      <c r="D20" s="4" t="n"/>
      <c r="E20" s="4" t="n"/>
      <c r="F20" s="4" t="n"/>
    </row>
    <row r="21">
      <c r="A21" s="23" t="n">
        <v>18</v>
      </c>
      <c r="B21" s="13" t="inlineStr">
        <is>
          <t>TRPTTR (49)</t>
        </is>
      </c>
      <c r="C21" s="24" t="inlineStr">
        <is>
          <t>Thermal overload protection — 2 time constants</t>
        </is>
      </c>
      <c r="D21" s="4" t="n"/>
      <c r="E21" s="4" t="n"/>
      <c r="F21" s="4" t="n"/>
    </row>
    <row r="22">
      <c r="A22" s="22" t="n">
        <v>19</v>
      </c>
      <c r="B22" s="13" t="inlineStr">
        <is>
          <t>LCPTTR / LFPTTR (26)</t>
        </is>
      </c>
      <c r="C22" s="7" t="inlineStr">
        <is>
          <t>Thermal overload protection — 1 time constant</t>
        </is>
      </c>
      <c r="D22" s="4" t="n"/>
      <c r="E22" s="4" t="n"/>
      <c r="F22" s="4" t="n"/>
    </row>
    <row r="23">
      <c r="A23" s="23" t="n">
        <v>20</v>
      </c>
      <c r="B23" s="13" t="inlineStr">
        <is>
          <t>CCRBRF-W1 (50BF)</t>
        </is>
      </c>
      <c r="C23" s="24" t="inlineStr">
        <is>
          <t>Breaker failure protection — Winding 1 breaker</t>
        </is>
      </c>
      <c r="D23" s="4" t="n"/>
      <c r="E23" s="4" t="n"/>
      <c r="F23" s="4" t="n"/>
    </row>
    <row r="24">
      <c r="A24" s="22" t="n">
        <v>21</v>
      </c>
      <c r="B24" s="13" t="inlineStr">
        <is>
          <t>CCRBRF-W2 (50BF)</t>
        </is>
      </c>
      <c r="C24" s="7" t="inlineStr">
        <is>
          <t>Breaker failure protection — Winding 2 breaker</t>
        </is>
      </c>
      <c r="D24" s="4" t="n"/>
      <c r="E24" s="4" t="n"/>
      <c r="F24" s="4" t="n"/>
    </row>
    <row r="25">
      <c r="A25" s="23" t="n">
        <v>22</v>
      </c>
      <c r="B25" s="13" t="inlineStr">
        <is>
          <t>STBPTOC (50STB)</t>
        </is>
      </c>
      <c r="C25" s="24" t="inlineStr">
        <is>
          <t>Stub protection — disconnector open condition (if fitted)</t>
        </is>
      </c>
      <c r="D25" s="4" t="n"/>
      <c r="E25" s="4" t="n"/>
      <c r="F25" s="4" t="n"/>
    </row>
    <row r="26">
      <c r="A26" s="22" t="n">
        <v>23</v>
      </c>
      <c r="B26" s="13" t="inlineStr">
        <is>
          <t>UV2PTUV (27)</t>
        </is>
      </c>
      <c r="C26" s="7" t="inlineStr">
        <is>
          <t>Two-step undervoltage protection (if VT fitted)</t>
        </is>
      </c>
      <c r="D26" s="4" t="n"/>
      <c r="E26" s="4" t="n"/>
      <c r="F26" s="4" t="n"/>
    </row>
    <row r="27">
      <c r="A27" s="23" t="n">
        <v>24</v>
      </c>
      <c r="B27" s="13" t="inlineStr">
        <is>
          <t>OV2PTOV (59)</t>
        </is>
      </c>
      <c r="C27" s="24" t="inlineStr">
        <is>
          <t>Two-step overvoltage protection (if VT fitted)</t>
        </is>
      </c>
      <c r="D27" s="4" t="n"/>
      <c r="E27" s="4" t="n"/>
      <c r="F27" s="4" t="n"/>
    </row>
    <row r="28">
      <c r="A28" s="22" t="n">
        <v>25</v>
      </c>
      <c r="B28" s="13" t="inlineStr">
        <is>
          <t>ROV2PTOV (59N)</t>
        </is>
      </c>
      <c r="C28" s="7" t="inlineStr">
        <is>
          <t>Two-step residual overvoltage (if VT fitted)</t>
        </is>
      </c>
      <c r="D28" s="4" t="n"/>
      <c r="E28" s="4" t="n"/>
      <c r="F28" s="4" t="n"/>
    </row>
    <row r="29">
      <c r="A29" s="23" t="n">
        <v>26</v>
      </c>
      <c r="B29" s="13" t="inlineStr">
        <is>
          <t>VDCPTDV (87V)</t>
        </is>
      </c>
      <c r="C29" s="24" t="inlineStr">
        <is>
          <t>Voltage differential protection (if dual VT fitted)</t>
        </is>
      </c>
      <c r="D29" s="4" t="n"/>
      <c r="E29" s="4" t="n"/>
      <c r="F29" s="4" t="n"/>
    </row>
    <row r="30">
      <c r="A30" s="22" t="n">
        <v>27</v>
      </c>
      <c r="B30" s="13" t="inlineStr">
        <is>
          <t>LOVPTUV (27)</t>
        </is>
      </c>
      <c r="C30" s="7" t="inlineStr">
        <is>
          <t>Loss of voltage check (if VT fitted)</t>
        </is>
      </c>
      <c r="D30" s="4" t="n"/>
      <c r="E30" s="4" t="n"/>
      <c r="F30" s="4" t="n"/>
    </row>
    <row r="31">
      <c r="A31" s="23" t="n">
        <v>28</v>
      </c>
      <c r="B31" s="13" t="inlineStr">
        <is>
          <t>GOPPDOP (32)</t>
        </is>
      </c>
      <c r="C31" s="24" t="inlineStr">
        <is>
          <t>Directional overpower protection (if VT fitted)</t>
        </is>
      </c>
      <c r="D31" s="4" t="n"/>
      <c r="E31" s="4" t="n"/>
      <c r="F31" s="4" t="n"/>
    </row>
    <row r="32">
      <c r="A32" s="22" t="n">
        <v>29</v>
      </c>
      <c r="B32" s="13" t="inlineStr">
        <is>
          <t>GUPPDUP (37)</t>
        </is>
      </c>
      <c r="C32" s="7" t="inlineStr">
        <is>
          <t>Directional underpower protection (if VT fitted)</t>
        </is>
      </c>
      <c r="D32" s="4" t="n"/>
      <c r="E32" s="4" t="n"/>
      <c r="F32" s="4" t="n"/>
    </row>
    <row r="33">
      <c r="A33" s="23" t="n">
        <v>30</v>
      </c>
      <c r="B33" s="13" t="inlineStr">
        <is>
          <t>SAPTUF (81)</t>
        </is>
      </c>
      <c r="C33" s="24" t="inlineStr">
        <is>
          <t>Underfrequency protection — up to 10 stages (if VT fitted)</t>
        </is>
      </c>
      <c r="D33" s="4" t="n"/>
      <c r="E33" s="4" t="n"/>
      <c r="F33" s="4" t="n"/>
    </row>
    <row r="34">
      <c r="A34" s="22" t="n">
        <v>31</v>
      </c>
      <c r="B34" s="13" t="inlineStr">
        <is>
          <t>SAPTOF (81)</t>
        </is>
      </c>
      <c r="C34" s="7" t="inlineStr">
        <is>
          <t>Overfrequency protection — up to 6 stages (if VT fitted)</t>
        </is>
      </c>
      <c r="D34" s="4" t="n"/>
      <c r="E34" s="4" t="n"/>
      <c r="F34" s="4" t="n"/>
    </row>
    <row r="35">
      <c r="A35" s="23" t="n">
        <v>32</v>
      </c>
      <c r="B35" s="13" t="inlineStr">
        <is>
          <t>SAPFRC (81R)</t>
        </is>
      </c>
      <c r="C35" s="24" t="inlineStr">
        <is>
          <t>Rate-of-change of frequency (ROCOF, if VT fitted)</t>
        </is>
      </c>
      <c r="D35" s="4" t="n"/>
      <c r="E35" s="4" t="n"/>
      <c r="F35" s="4" t="n"/>
    </row>
    <row r="36">
      <c r="A36" s="22" t="n">
        <v>33</v>
      </c>
      <c r="B36" s="13" t="inlineStr">
        <is>
          <t>SESRSYN (25)</t>
        </is>
      </c>
      <c r="C36" s="7" t="inlineStr">
        <is>
          <t>Synchrocheck and energisation check (if fitted)</t>
        </is>
      </c>
      <c r="D36" s="4" t="n"/>
      <c r="E36" s="4" t="n"/>
      <c r="F36" s="4" t="n"/>
    </row>
    <row r="37">
      <c r="A37" s="23" t="n">
        <v>34</v>
      </c>
      <c r="B37" s="13" t="inlineStr">
        <is>
          <t>TR1ATCC (90)</t>
        </is>
      </c>
      <c r="C37" s="24" t="inlineStr">
        <is>
          <t>Automatic voltage control — tap changer, single (if fitted)</t>
        </is>
      </c>
      <c r="D37" s="4" t="n"/>
      <c r="E37" s="4" t="n"/>
      <c r="F37" s="4" t="n"/>
    </row>
    <row r="38">
      <c r="A38" s="22" t="n">
        <v>35</v>
      </c>
      <c r="B38" s="13" t="inlineStr">
        <is>
          <t>SSIMG (63)</t>
        </is>
      </c>
      <c r="C38" s="7" t="inlineStr">
        <is>
          <t>Insulation supervision — gas medium (SF6 pressure, if fitted)</t>
        </is>
      </c>
      <c r="D38" s="4" t="n"/>
      <c r="E38" s="4" t="n"/>
      <c r="F38" s="4" t="n"/>
    </row>
    <row r="39">
      <c r="A39" s="23" t="n">
        <v>36</v>
      </c>
      <c r="B39" s="13" t="inlineStr">
        <is>
          <t>SSIML (71)</t>
        </is>
      </c>
      <c r="C39" s="24" t="inlineStr">
        <is>
          <t>Insulation supervision — liquid (oil level / Buchholz, if fitted)</t>
        </is>
      </c>
      <c r="D39" s="4" t="n"/>
      <c r="E39" s="4" t="n"/>
      <c r="F39" s="4" t="n"/>
    </row>
    <row r="40">
      <c r="A40" s="22" t="n">
        <v>37</v>
      </c>
      <c r="B40" s="13" t="inlineStr">
        <is>
          <t>LOLSPTR (26/49HS)</t>
        </is>
      </c>
      <c r="C40" s="7" t="inlineStr">
        <is>
          <t>Transformer insulation loss of life monitoring (if fitted)</t>
        </is>
      </c>
      <c r="D40" s="4" t="n"/>
      <c r="E40" s="4" t="n"/>
      <c r="F40" s="4" t="n"/>
    </row>
    <row r="41">
      <c r="A41" s="23" t="n">
        <v>38</v>
      </c>
      <c r="B41" s="13" t="inlineStr">
        <is>
          <t>FUFSPVC</t>
        </is>
      </c>
      <c r="C41" s="24" t="inlineStr">
        <is>
          <t>Fuse failure supervision — voltage based (if VT fitted)</t>
        </is>
      </c>
      <c r="D41" s="4" t="n"/>
      <c r="E41" s="4" t="n"/>
      <c r="F41" s="4" t="n"/>
    </row>
    <row r="42">
      <c r="A42" s="22" t="n">
        <v>39</v>
      </c>
      <c r="B42" s="13" t="inlineStr">
        <is>
          <t>CCPDSC (52PD)</t>
        </is>
      </c>
      <c r="C42" s="7" t="inlineStr">
        <is>
          <t>Pole discordance protection (if fitted)</t>
        </is>
      </c>
      <c r="D42" s="4" t="n"/>
      <c r="E42" s="4" t="n"/>
      <c r="F42" s="4" t="n"/>
    </row>
  </sheetData>
  <mergeCells count="1">
    <mergeCell ref="A1:F1"/>
  </mergeCells>
  <conditionalFormatting sqref="F1:F200">
    <cfRule type="cellIs" priority="1" operator="equal" dxfId="0">
      <formula>"PASS"</formula>
    </cfRule>
    <cfRule type="cellIs" priority="2" operator="equal" dxfId="1">
      <formula>"FAIL"</formula>
    </cfRule>
  </conditionalFormatting>
  <pageMargins left="0.4" right="0.4" top="0.6" bottom="0.6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4" customWidth="1" min="4" max="4"/>
    <col width="12" customWidth="1" min="5" max="5"/>
    <col width="14" customWidth="1" min="6" max="6"/>
    <col width="10" customWidth="1" min="7" max="7"/>
  </cols>
  <sheetData>
    <row r="1" ht="26" customHeight="1">
      <c r="A1" s="1" t="inlineStr">
        <is>
          <t>PROTECTION ELEMENT TEST RESULTS</t>
        </is>
      </c>
    </row>
    <row r="2" ht="32" customHeight="1">
      <c r="A2" s="15" t="inlineStr">
        <is>
          <t>Setting column = relay pickup setting (secondary A, V, or pu). Measured Pickup = value at which IED output asserted during injection. Pickup Err % = auto-calculated. Result = PASS if |Err| ≤ TolPickup_pct.</t>
        </is>
      </c>
    </row>
    <row r="3">
      <c r="A3" s="5" t="inlineStr">
        <is>
          <t>Element</t>
        </is>
      </c>
      <c r="B3" s="5" t="inlineStr">
        <is>
          <t>Description</t>
        </is>
      </c>
      <c r="C3" s="5" t="inlineStr">
        <is>
          <t>Pickup Setting
(sec A, V, or pu)</t>
        </is>
      </c>
      <c r="D3" s="5" t="inlineStr">
        <is>
          <t>Measured
Pickup</t>
        </is>
      </c>
      <c r="E3" s="5" t="inlineStr">
        <is>
          <t>Pickup
Err %</t>
        </is>
      </c>
      <c r="F3" s="5" t="inlineStr">
        <is>
          <t>Measured
Time (s)</t>
        </is>
      </c>
      <c r="G3" s="5" t="inlineStr">
        <is>
          <t>Result</t>
        </is>
      </c>
    </row>
    <row r="4">
      <c r="A4" s="13" t="inlineStr">
        <is>
          <t>T2WPDIF-R</t>
        </is>
      </c>
      <c r="B4" s="7" t="inlineStr">
        <is>
          <t>87T restrained differential pickup — IminOp (pu of Ir)</t>
        </is>
      </c>
      <c r="C4" s="4" t="n"/>
      <c r="D4" s="4" t="n"/>
      <c r="E4" s="17">
        <f>IFERROR(IF(OR(C4="",D4=""),"",(D4-C4)/C4*100),"—")</f>
        <v/>
      </c>
      <c r="F4" s="4" t="n"/>
      <c r="G4" s="20">
        <f>IFERROR(IF(AND(C4="",D4=""),"—",IF(AND(ISNUMBER(E4),ABS(E4)&lt;=TolPickup_pct),"PASS","FAIL")),"—")</f>
        <v/>
      </c>
    </row>
    <row r="5">
      <c r="A5" s="13" t="inlineStr">
        <is>
          <t>T2WPDIF-U</t>
        </is>
      </c>
      <c r="B5" s="24" t="inlineStr">
        <is>
          <t>87T unrestrained differential pickup — IdMinUnre (pu of Ir)</t>
        </is>
      </c>
      <c r="C5" s="4" t="n"/>
      <c r="D5" s="4" t="n"/>
      <c r="E5" s="17">
        <f>IFERROR(IF(OR(C5="",D5=""),"",(D5-C5)/C5*100),"—")</f>
        <v/>
      </c>
      <c r="F5" s="4" t="n"/>
      <c r="G5" s="20">
        <f>IFERROR(IF(AND(C5="",D5=""),"—",IF(AND(ISNUMBER(E5),ABS(E5)&lt;=TolPickup_pct),"PASS","FAIL")),"—")</f>
        <v/>
      </c>
    </row>
    <row r="6">
      <c r="A6" s="13" t="inlineStr">
        <is>
          <t>T3WPDIF-R</t>
        </is>
      </c>
      <c r="B6" s="7" t="inlineStr">
        <is>
          <t>87T 3-winding restrained pickup (if fitted, pu of Ir)</t>
        </is>
      </c>
      <c r="C6" s="4" t="n"/>
      <c r="D6" s="4" t="n"/>
      <c r="E6" s="17">
        <f>IFERROR(IF(OR(C6="",D6=""),"",(D6-C6)/C6*100),"—")</f>
        <v/>
      </c>
      <c r="F6" s="4" t="n"/>
      <c r="G6" s="20">
        <f>IFERROR(IF(AND(C6="",D6=""),"—",IF(AND(ISNUMBER(E6),ABS(E6)&lt;=TolPickup_pct),"PASS","FAIL")),"—")</f>
        <v/>
      </c>
    </row>
    <row r="7">
      <c r="A7" s="13" t="inlineStr">
        <is>
          <t>REFPDIF</t>
        </is>
      </c>
      <c r="B7" s="24" t="inlineStr">
        <is>
          <t>87N restricted earth fault pickup (A secondary, if enabled)</t>
        </is>
      </c>
      <c r="C7" s="4" t="n"/>
      <c r="D7" s="4" t="n"/>
      <c r="E7" s="17">
        <f>IFERROR(IF(OR(C7="",D7=""),"",(D7-C7)/C7*100),"—")</f>
        <v/>
      </c>
      <c r="F7" s="4" t="n"/>
      <c r="G7" s="20">
        <f>IFERROR(IF(AND(C7="",D7=""),"—",IF(AND(ISNUMBER(E7),ABS(E7)&lt;=TolPickup_pct),"PASS","FAIL")),"—")</f>
        <v/>
      </c>
    </row>
    <row r="8">
      <c r="A8" s="13" t="inlineStr">
        <is>
          <t>OEXPVPH</t>
        </is>
      </c>
      <c r="B8" s="7" t="inlineStr">
        <is>
          <t>24 overexcitation pickup — V/Hz (% of rated, if VT fitted)</t>
        </is>
      </c>
      <c r="C8" s="4" t="n"/>
      <c r="D8" s="4" t="n"/>
      <c r="E8" s="17">
        <f>IFERROR(IF(OR(C8="",D8=""),"",(D8-C8)/C8*100),"—")</f>
        <v/>
      </c>
      <c r="F8" s="4" t="n"/>
      <c r="G8" s="20">
        <f>IFERROR(IF(AND(C8="",D8=""),"—",IF(AND(ISNUMBER(E8),ABS(E8)&lt;=TolPickup_pct),"PASS","FAIL")),"—")</f>
        <v/>
      </c>
    </row>
    <row r="9">
      <c r="A9" s="13" t="inlineStr">
        <is>
          <t>PHPIOC</t>
        </is>
      </c>
      <c r="B9" s="24" t="inlineStr">
        <is>
          <t>50 phase instantaneous OC — pickup (A secondary)</t>
        </is>
      </c>
      <c r="C9" s="4" t="n"/>
      <c r="D9" s="4" t="n"/>
      <c r="E9" s="17">
        <f>IFERROR(IF(OR(C9="",D9=""),"",(D9-C9)/C9*100),"—")</f>
        <v/>
      </c>
      <c r="F9" s="4" t="n"/>
      <c r="G9" s="20">
        <f>IFERROR(IF(AND(C9="",D9=""),"—",IF(AND(ISNUMBER(E9),ABS(E9)&lt;=TolPickup_pct),"PASS","FAIL")),"—")</f>
        <v/>
      </c>
    </row>
    <row r="10">
      <c r="A10" s="13" t="inlineStr">
        <is>
          <t>OC4PTOC-W1-1</t>
        </is>
      </c>
      <c r="B10" s="7" t="inlineStr">
        <is>
          <t>51/67 phase TOC W1 — stage 1 pickup (A secondary)</t>
        </is>
      </c>
      <c r="C10" s="4" t="n"/>
      <c r="D10" s="4" t="n"/>
      <c r="E10" s="17">
        <f>IFERROR(IF(OR(C10="",D10=""),"",(D10-C10)/C10*100),"—")</f>
        <v/>
      </c>
      <c r="F10" s="4" t="n"/>
      <c r="G10" s="20">
        <f>IFERROR(IF(AND(C10="",D10=""),"—",IF(AND(ISNUMBER(E10),ABS(E10)&lt;=TolPickup_pct),"PASS","FAIL")),"—")</f>
        <v/>
      </c>
    </row>
    <row r="11">
      <c r="A11" s="13" t="inlineStr">
        <is>
          <t>OC4PTOC-W1-2</t>
        </is>
      </c>
      <c r="B11" s="24" t="inlineStr">
        <is>
          <t>51/67 phase TOC W1 — stage 2 pickup (A secondary)</t>
        </is>
      </c>
      <c r="C11" s="4" t="n"/>
      <c r="D11" s="4" t="n"/>
      <c r="E11" s="17">
        <f>IFERROR(IF(OR(C11="",D11=""),"",(D11-C11)/C11*100),"—")</f>
        <v/>
      </c>
      <c r="F11" s="4" t="n"/>
      <c r="G11" s="20">
        <f>IFERROR(IF(AND(C11="",D11=""),"—",IF(AND(ISNUMBER(E11),ABS(E11)&lt;=TolPickup_pct),"PASS","FAIL")),"—")</f>
        <v/>
      </c>
    </row>
    <row r="12">
      <c r="A12" s="13" t="inlineStr">
        <is>
          <t>OC4PTOC-W2-1</t>
        </is>
      </c>
      <c r="B12" s="7" t="inlineStr">
        <is>
          <t>51/67 phase TOC W2 — stage 1 pickup (A secondary)</t>
        </is>
      </c>
      <c r="C12" s="4" t="n"/>
      <c r="D12" s="4" t="n"/>
      <c r="E12" s="17">
        <f>IFERROR(IF(OR(C12="",D12=""),"",(D12-C12)/C12*100),"—")</f>
        <v/>
      </c>
      <c r="F12" s="4" t="n"/>
      <c r="G12" s="20">
        <f>IFERROR(IF(AND(C12="",D12=""),"—",IF(AND(ISNUMBER(E12),ABS(E12)&lt;=TolPickup_pct),"PASS","FAIL")),"—")</f>
        <v/>
      </c>
    </row>
    <row r="13">
      <c r="A13" s="13" t="inlineStr">
        <is>
          <t>EFPIOC</t>
        </is>
      </c>
      <c r="B13" s="24" t="inlineStr">
        <is>
          <t>50N residual instantaneous OC — pickup (A secondary)</t>
        </is>
      </c>
      <c r="C13" s="4" t="n"/>
      <c r="D13" s="4" t="n"/>
      <c r="E13" s="17">
        <f>IFERROR(IF(OR(C13="",D13=""),"",(D13-C13)/C13*100),"—")</f>
        <v/>
      </c>
      <c r="F13" s="4" t="n"/>
      <c r="G13" s="20">
        <f>IFERROR(IF(AND(C13="",D13=""),"—",IF(AND(ISNUMBER(E13),ABS(E13)&lt;=TolPickup_pct),"PASS","FAIL")),"—")</f>
        <v/>
      </c>
    </row>
    <row r="14">
      <c r="A14" s="13" t="inlineStr">
        <is>
          <t>EF4PTOC-W1-1</t>
        </is>
      </c>
      <c r="B14" s="7" t="inlineStr">
        <is>
          <t>51N/67N residual TOC W1 — stage 1 pickup (A secondary)</t>
        </is>
      </c>
      <c r="C14" s="4" t="n"/>
      <c r="D14" s="4" t="n"/>
      <c r="E14" s="17">
        <f>IFERROR(IF(OR(C14="",D14=""),"",(D14-C14)/C14*100),"—")</f>
        <v/>
      </c>
      <c r="F14" s="4" t="n"/>
      <c r="G14" s="20">
        <f>IFERROR(IF(AND(C14="",D14=""),"—",IF(AND(ISNUMBER(E14),ABS(E14)&lt;=TolPickup_pct),"PASS","FAIL")),"—")</f>
        <v/>
      </c>
    </row>
    <row r="15">
      <c r="A15" s="13" t="inlineStr">
        <is>
          <t>EF4PTOC-W2-1</t>
        </is>
      </c>
      <c r="B15" s="24" t="inlineStr">
        <is>
          <t>51N/67N residual TOC W2 — stage 1 pickup (A secondary)</t>
        </is>
      </c>
      <c r="C15" s="4" t="n"/>
      <c r="D15" s="4" t="n"/>
      <c r="E15" s="17">
        <f>IFERROR(IF(OR(C15="",D15=""),"",(D15-C15)/C15*100),"—")</f>
        <v/>
      </c>
      <c r="F15" s="4" t="n"/>
      <c r="G15" s="20">
        <f>IFERROR(IF(AND(C15="",D15=""),"—",IF(AND(ISNUMBER(E15),ABS(E15)&lt;=TolPickup_pct),"PASS","FAIL")),"—")</f>
        <v/>
      </c>
    </row>
    <row r="16">
      <c r="A16" s="13" t="inlineStr">
        <is>
          <t>NS4PTOC-1</t>
        </is>
      </c>
      <c r="B16" s="7" t="inlineStr">
        <is>
          <t>46I2 neg-seq OC — stage 1 pickup (A secondary)</t>
        </is>
      </c>
      <c r="C16" s="4" t="n"/>
      <c r="D16" s="4" t="n"/>
      <c r="E16" s="17">
        <f>IFERROR(IF(OR(C16="",D16=""),"",(D16-C16)/C16*100),"—")</f>
        <v/>
      </c>
      <c r="F16" s="4" t="n"/>
      <c r="G16" s="20">
        <f>IFERROR(IF(AND(C16="",D16=""),"—",IF(AND(ISNUMBER(E16),ABS(E16)&lt;=TolPickup_pct),"PASS","FAIL")),"—")</f>
        <v/>
      </c>
    </row>
    <row r="17">
      <c r="A17" s="13" t="inlineStr">
        <is>
          <t>SDEPSDE</t>
        </is>
      </c>
      <c r="B17" s="24" t="inlineStr">
        <is>
          <t>67N sensitive directional residual pickup (A secondary)</t>
        </is>
      </c>
      <c r="C17" s="4" t="n"/>
      <c r="D17" s="4" t="n"/>
      <c r="E17" s="17">
        <f>IFERROR(IF(OR(C17="",D17=""),"",(D17-C17)/C17*100),"—")</f>
        <v/>
      </c>
      <c r="F17" s="4" t="n"/>
      <c r="G17" s="20">
        <f>IFERROR(IF(AND(C17="",D17=""),"—",IF(AND(ISNUMBER(E17),ABS(E17)&lt;=TolPickup_pct),"PASS","FAIL")),"—")</f>
        <v/>
      </c>
    </row>
    <row r="18">
      <c r="A18" s="13" t="inlineStr">
        <is>
          <t>VRPVOC</t>
        </is>
      </c>
      <c r="B18" s="7" t="inlineStr">
        <is>
          <t>51V voltage-restrained OC pickup (A secondary, if VT fitted)</t>
        </is>
      </c>
      <c r="C18" s="4" t="n"/>
      <c r="D18" s="4" t="n"/>
      <c r="E18" s="17">
        <f>IFERROR(IF(OR(C18="",D18=""),"",(D18-C18)/C18*100),"—")</f>
        <v/>
      </c>
      <c r="F18" s="4" t="n"/>
      <c r="G18" s="20">
        <f>IFERROR(IF(AND(C18="",D18=""),"—",IF(AND(ISNUMBER(E18),ABS(E18)&lt;=TolPickup_pct),"PASS","FAIL")),"—")</f>
        <v/>
      </c>
    </row>
    <row r="19">
      <c r="A19" s="13" t="inlineStr">
        <is>
          <t>TRPTTR</t>
        </is>
      </c>
      <c r="B19" s="24" t="inlineStr">
        <is>
          <t>49 thermal overload — thermal trip level (A secondary)</t>
        </is>
      </c>
      <c r="C19" s="4" t="n"/>
      <c r="D19" s="4" t="n"/>
      <c r="E19" s="17">
        <f>IFERROR(IF(OR(C19="",D19=""),"",(D19-C19)/C19*100),"—")</f>
        <v/>
      </c>
      <c r="F19" s="4" t="n"/>
      <c r="G19" s="20">
        <f>IFERROR(IF(AND(C19="",D19=""),"—",IF(AND(ISNUMBER(E19),ABS(E19)&lt;=TolPickup_pct),"PASS","FAIL")),"—")</f>
        <v/>
      </c>
    </row>
    <row r="20">
      <c r="A20" s="13" t="inlineStr">
        <is>
          <t>LCPTTR</t>
        </is>
      </c>
      <c r="B20" s="7" t="inlineStr">
        <is>
          <t>26 thermal overload — 1 TC — trip level (A secondary)</t>
        </is>
      </c>
      <c r="C20" s="4" t="n"/>
      <c r="D20" s="4" t="n"/>
      <c r="E20" s="17">
        <f>IFERROR(IF(OR(C20="",D20=""),"",(D20-C20)/C20*100),"—")</f>
        <v/>
      </c>
      <c r="F20" s="4" t="n"/>
      <c r="G20" s="20">
        <f>IFERROR(IF(AND(C20="",D20=""),"—",IF(AND(ISNUMBER(E20),ABS(E20)&lt;=TolPickup_pct),"PASS","FAIL")),"—")</f>
        <v/>
      </c>
    </row>
    <row r="21">
      <c r="A21" s="13" t="inlineStr">
        <is>
          <t>CCRBRF-W1</t>
        </is>
      </c>
      <c r="B21" s="24" t="inlineStr">
        <is>
          <t>50BF breaker failure W1 — current pickup + BFD timer (s)</t>
        </is>
      </c>
      <c r="C21" s="4" t="n"/>
      <c r="D21" s="4" t="n"/>
      <c r="E21" s="17">
        <f>IFERROR(IF(OR(C21="",D21=""),"",(D21-C21)/C21*100),"—")</f>
        <v/>
      </c>
      <c r="F21" s="4" t="n"/>
      <c r="G21" s="20">
        <f>IFERROR(IF(AND(C21="",D21=""),"—",IF(AND(ISNUMBER(E21),ABS(E21)&lt;=TolPickup_pct),"PASS","FAIL")),"—")</f>
        <v/>
      </c>
    </row>
    <row r="22">
      <c r="A22" s="13" t="inlineStr">
        <is>
          <t>CCRBRF-W2</t>
        </is>
      </c>
      <c r="B22" s="7" t="inlineStr">
        <is>
          <t>50BF breaker failure W2 — current pickup + BFD timer (s)</t>
        </is>
      </c>
      <c r="C22" s="4" t="n"/>
      <c r="D22" s="4" t="n"/>
      <c r="E22" s="17">
        <f>IFERROR(IF(OR(C22="",D22=""),"",(D22-C22)/C22*100),"—")</f>
        <v/>
      </c>
      <c r="F22" s="4" t="n"/>
      <c r="G22" s="20">
        <f>IFERROR(IF(AND(C22="",D22=""),"—",IF(AND(ISNUMBER(E22),ABS(E22)&lt;=TolPickup_pct),"PASS","FAIL")),"—")</f>
        <v/>
      </c>
    </row>
    <row r="23">
      <c r="A23" s="13" t="inlineStr">
        <is>
          <t>UV2PTUV-1</t>
        </is>
      </c>
      <c r="B23" s="24" t="inlineStr">
        <is>
          <t>27 undervoltage — stage 1 pickup (V secondary, if VT fitted)</t>
        </is>
      </c>
      <c r="C23" s="4" t="n"/>
      <c r="D23" s="4" t="n"/>
      <c r="E23" s="17">
        <f>IFERROR(IF(OR(C23="",D23=""),"",(D23-C23)/C23*100),"—")</f>
        <v/>
      </c>
      <c r="F23" s="4" t="n"/>
      <c r="G23" s="20">
        <f>IFERROR(IF(AND(C23="",D23=""),"—",IF(AND(ISNUMBER(E23),ABS(E23)&lt;=TolPickup_pct),"PASS","FAIL")),"—")</f>
        <v/>
      </c>
    </row>
    <row r="24">
      <c r="A24" s="13" t="inlineStr">
        <is>
          <t>UV2PTUV-2</t>
        </is>
      </c>
      <c r="B24" s="7" t="inlineStr">
        <is>
          <t>27 undervoltage — stage 2 pickup (V secondary, if VT fitted)</t>
        </is>
      </c>
      <c r="C24" s="4" t="n"/>
      <c r="D24" s="4" t="n"/>
      <c r="E24" s="17">
        <f>IFERROR(IF(OR(C24="",D24=""),"",(D24-C24)/C24*100),"—")</f>
        <v/>
      </c>
      <c r="F24" s="4" t="n"/>
      <c r="G24" s="20">
        <f>IFERROR(IF(AND(C24="",D24=""),"—",IF(AND(ISNUMBER(E24),ABS(E24)&lt;=TolPickup_pct),"PASS","FAIL")),"—")</f>
        <v/>
      </c>
    </row>
    <row r="25">
      <c r="A25" s="13" t="inlineStr">
        <is>
          <t>OV2PTOV-1</t>
        </is>
      </c>
      <c r="B25" s="24" t="inlineStr">
        <is>
          <t>59 overvoltage — stage 1 pickup (V secondary, if VT fitted)</t>
        </is>
      </c>
      <c r="C25" s="4" t="n"/>
      <c r="D25" s="4" t="n"/>
      <c r="E25" s="17">
        <f>IFERROR(IF(OR(C25="",D25=""),"",(D25-C25)/C25*100),"—")</f>
        <v/>
      </c>
      <c r="F25" s="4" t="n"/>
      <c r="G25" s="20">
        <f>IFERROR(IF(AND(C25="",D25=""),"—",IF(AND(ISNUMBER(E25),ABS(E25)&lt;=TolPickup_pct),"PASS","FAIL")),"—")</f>
        <v/>
      </c>
    </row>
    <row r="26">
      <c r="A26" s="13" t="inlineStr">
        <is>
          <t>ROV2PTOV-1</t>
        </is>
      </c>
      <c r="B26" s="7" t="inlineStr">
        <is>
          <t>59N residual OV — stage 1 pickup (V secondary, if VT fitted)</t>
        </is>
      </c>
      <c r="C26" s="4" t="n"/>
      <c r="D26" s="4" t="n"/>
      <c r="E26" s="17">
        <f>IFERROR(IF(OR(C26="",D26=""),"",(D26-C26)/C26*100),"—")</f>
        <v/>
      </c>
      <c r="F26" s="4" t="n"/>
      <c r="G26" s="20">
        <f>IFERROR(IF(AND(C26="",D26=""),"—",IF(AND(ISNUMBER(E26),ABS(E26)&lt;=TolPickup_pct),"PASS","FAIL")),"—")</f>
        <v/>
      </c>
    </row>
    <row r="27">
      <c r="A27" s="13" t="inlineStr">
        <is>
          <t>GOPPDOP</t>
        </is>
      </c>
      <c r="B27" s="24" t="inlineStr">
        <is>
          <t>32 directional overpower pickup (W primary, if VT fitted)</t>
        </is>
      </c>
      <c r="C27" s="4" t="n"/>
      <c r="D27" s="4" t="n"/>
      <c r="E27" s="17">
        <f>IFERROR(IF(OR(C27="",D27=""),"",(D27-C27)/C27*100),"—")</f>
        <v/>
      </c>
      <c r="F27" s="4" t="n"/>
      <c r="G27" s="20">
        <f>IFERROR(IF(AND(C27="",D27=""),"—",IF(AND(ISNUMBER(E27),ABS(E27)&lt;=TolPickup_pct),"PASS","FAIL")),"—")</f>
        <v/>
      </c>
    </row>
    <row r="28">
      <c r="A28" s="13" t="inlineStr">
        <is>
          <t>SAPTUF-1</t>
        </is>
      </c>
      <c r="B28" s="7" t="inlineStr">
        <is>
          <t>81 underfrequency — stage 1 pickup (Hz, if VT fitted)</t>
        </is>
      </c>
      <c r="C28" s="4" t="n"/>
      <c r="D28" s="4" t="n"/>
      <c r="E28" s="17">
        <f>IFERROR(IF(OR(C28="",D28=""),"",(D28-C28)/C28*100),"—")</f>
        <v/>
      </c>
      <c r="F28" s="4" t="n"/>
      <c r="G28" s="20">
        <f>IFERROR(IF(AND(C28="",D28=""),"—",IF(AND(ISNUMBER(E28),ABS(E28)&lt;=TolPickup_pct),"PASS","FAIL")),"—")</f>
        <v/>
      </c>
    </row>
    <row r="29">
      <c r="A29" s="13" t="inlineStr">
        <is>
          <t>SAPTOF-1</t>
        </is>
      </c>
      <c r="B29" s="24" t="inlineStr">
        <is>
          <t>81 overfrequency — stage 1 pickup (Hz, if VT fitted)</t>
        </is>
      </c>
      <c r="C29" s="4" t="n"/>
      <c r="D29" s="4" t="n"/>
      <c r="E29" s="17">
        <f>IFERROR(IF(OR(C29="",D29=""),"",(D29-C29)/C29*100),"—")</f>
        <v/>
      </c>
      <c r="F29" s="4" t="n"/>
      <c r="G29" s="20">
        <f>IFERROR(IF(AND(C29="",D29=""),"—",IF(AND(ISNUMBER(E29),ABS(E29)&lt;=TolPickup_pct),"PASS","FAIL")),"—")</f>
        <v/>
      </c>
    </row>
    <row r="30">
      <c r="A30" s="13" t="inlineStr">
        <is>
          <t>SAPFRC-1</t>
        </is>
      </c>
      <c r="B30" s="7" t="inlineStr">
        <is>
          <t>81R ROCOF — stage 1 pickup (Hz/s, if VT fitted)</t>
        </is>
      </c>
      <c r="C30" s="4" t="n"/>
      <c r="D30" s="4" t="n"/>
      <c r="E30" s="17">
        <f>IFERROR(IF(OR(C30="",D30=""),"",(D30-C30)/C30*100),"—")</f>
        <v/>
      </c>
      <c r="F30" s="4" t="n"/>
      <c r="G30" s="20">
        <f>IFERROR(IF(AND(C30="",D30=""),"—",IF(AND(ISNUMBER(E30),ABS(E30)&lt;=TolPickup_pct),"PASS","FAIL")),"—")</f>
        <v/>
      </c>
    </row>
    <row r="31">
      <c r="A31" s="13" t="inlineStr">
        <is>
          <t>SESRSYN</t>
        </is>
      </c>
      <c r="B31" s="24" t="inlineStr">
        <is>
          <t>25 synchrocheck — closing window (degrees, if fitted)</t>
        </is>
      </c>
      <c r="C31" s="4" t="n"/>
      <c r="D31" s="4" t="n"/>
      <c r="E31" s="17">
        <f>IFERROR(IF(OR(C31="",D31=""),"",(D31-C31)/C31*100),"—")</f>
        <v/>
      </c>
      <c r="F31" s="4" t="n"/>
      <c r="G31" s="20">
        <f>IFERROR(IF(AND(C31="",D31=""),"—",IF(AND(ISNUMBER(E31),ABS(E31)&lt;=TolPickup_pct),"PASS","FAIL")),"—")</f>
        <v/>
      </c>
    </row>
    <row r="32">
      <c r="A32" s="13" t="inlineStr">
        <is>
          <t>CCSSPVC</t>
        </is>
      </c>
      <c r="B32" s="7" t="inlineStr">
        <is>
          <t>87CCS current circuit supervision — alarm threshold (A secondary)</t>
        </is>
      </c>
      <c r="C32" s="4" t="n"/>
      <c r="D32" s="4" t="n"/>
      <c r="E32" s="17">
        <f>IFERROR(IF(OR(C32="",D32=""),"",(D32-C32)/C32*100),"—")</f>
        <v/>
      </c>
      <c r="F32" s="4" t="n"/>
      <c r="G32" s="20">
        <f>IFERROR(IF(AND(C32="",D32=""),"—",IF(AND(ISNUMBER(E32),ABS(E32)&lt;=TolPickup_pct),"PASS","FAIL")),"—")</f>
        <v/>
      </c>
    </row>
  </sheetData>
  <mergeCells count="2">
    <mergeCell ref="A2:G2"/>
    <mergeCell ref="A1:G1"/>
  </mergeCells>
  <conditionalFormatting sqref="G1:G200">
    <cfRule type="cellIs" priority="1" operator="equal" dxfId="0">
      <formula>"PASS"</formula>
    </cfRule>
    <cfRule type="cellIs" priority="2" operator="equal" dxfId="1">
      <formula>"FAIL"</formula>
    </cfRule>
  </conditionalFormatting>
  <pageMargins left="0.4" right="0.4" top="0.6" bottom="0.6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20" customWidth="1" min="4" max="4"/>
  </cols>
  <sheetData>
    <row r="1" ht="26" customHeight="1">
      <c r="A1" s="1" t="inlineStr">
        <is>
          <t>POST-TEST CHECKS</t>
        </is>
      </c>
    </row>
    <row r="3">
      <c r="A3" s="2" t="inlineStr">
        <is>
          <t>8.1  SETTINGS RESTORE &amp; VERIFICATION</t>
        </is>
      </c>
    </row>
    <row r="4">
      <c r="A4" s="5" t="inlineStr">
        <is>
          <t>Check</t>
        </is>
      </c>
      <c r="B4" s="5" t="inlineStr">
        <is>
          <t>Expected / Action</t>
        </is>
      </c>
      <c r="C4" s="5" t="inlineStr">
        <is>
          <t>Result</t>
        </is>
      </c>
      <c r="D4" s="5" t="inlineStr">
        <is>
          <t>Notes</t>
        </is>
      </c>
    </row>
    <row r="5">
      <c r="A5" s="3" t="inlineStr">
        <is>
          <t>Re-upload settings via PCM600 — verify unchanged</t>
        </is>
      </c>
      <c r="B5" s="6" t="inlineStr">
        <is>
          <t>Match approved project file</t>
        </is>
      </c>
      <c r="C5" s="4" t="n"/>
      <c r="D5" s="4" t="n"/>
    </row>
    <row r="6">
      <c r="A6" s="3" t="inlineStr">
        <is>
          <t>Exit Test mode on LHMI</t>
        </is>
      </c>
      <c r="B6" s="6" t="inlineStr">
        <is>
          <t>LHMI: Main menu → Test → Exit test mode</t>
        </is>
      </c>
      <c r="C6" s="4" t="n"/>
      <c r="D6" s="4" t="n"/>
    </row>
    <row r="7">
      <c r="A7" s="3" t="inlineStr">
        <is>
          <t>All forced binary outputs restored to normal</t>
        </is>
      </c>
      <c r="B7" s="6" t="inlineStr">
        <is>
          <t>BOM cards de-energised</t>
        </is>
      </c>
      <c r="C7" s="4" t="n"/>
      <c r="D7" s="4" t="n"/>
    </row>
    <row r="8">
      <c r="A8" s="3" t="inlineStr">
        <is>
          <t>Active setting group restored to normal</t>
        </is>
      </c>
      <c r="B8" s="6" t="inlineStr">
        <is>
          <t>Group 1 or as applicable</t>
        </is>
      </c>
      <c r="C8" s="4" t="n"/>
      <c r="D8" s="4" t="n"/>
    </row>
    <row r="9">
      <c r="A9" s="3" t="inlineStr">
        <is>
          <t>Normal LED (green, fixed) illuminated</t>
        </is>
      </c>
      <c r="B9" s="6" t="inlineStr">
        <is>
          <t>IED in service</t>
        </is>
      </c>
      <c r="C9" s="4" t="n"/>
      <c r="D9" s="4" t="n"/>
    </row>
    <row r="11">
      <c r="A11" s="2" t="inlineStr">
        <is>
          <t>8.2  FINAL SELF-SUPERVISION CHECK  (LHMI: Main menu → Diagnostics → IED status → Signals → INTERRSIG)</t>
        </is>
      </c>
    </row>
    <row r="12">
      <c r="A12" s="5" t="inlineStr">
        <is>
          <t>Signal</t>
        </is>
      </c>
      <c r="B12" s="5" t="inlineStr">
        <is>
          <t>Expected</t>
        </is>
      </c>
      <c r="C12" s="5" t="inlineStr">
        <is>
          <t>Status</t>
        </is>
      </c>
      <c r="D12" s="5" t="inlineStr">
        <is>
          <t>Notes</t>
        </is>
      </c>
    </row>
    <row r="13">
      <c r="A13" s="13" t="inlineStr">
        <is>
          <t>FAIL</t>
        </is>
      </c>
      <c r="B13" s="6" t="inlineStr">
        <is>
          <t>NORMAL (0)</t>
        </is>
      </c>
      <c r="C13" s="4" t="n"/>
      <c r="D13" s="4" t="n"/>
    </row>
    <row r="14">
      <c r="A14" s="13" t="inlineStr">
        <is>
          <t>WARNING</t>
        </is>
      </c>
      <c r="B14" s="6" t="inlineStr">
        <is>
          <t>NORMAL (0)</t>
        </is>
      </c>
      <c r="C14" s="4" t="n"/>
      <c r="D14" s="4" t="n"/>
    </row>
    <row r="15">
      <c r="A15" s="13" t="inlineStr">
        <is>
          <t>RTCERROR</t>
        </is>
      </c>
      <c r="B15" s="6" t="inlineStr">
        <is>
          <t>NORMAL (0)</t>
        </is>
      </c>
      <c r="C15" s="4" t="n"/>
      <c r="D15" s="4" t="n"/>
    </row>
    <row r="16">
      <c r="A16" s="13" t="inlineStr">
        <is>
          <t>TIMESYNCHERROR</t>
        </is>
      </c>
      <c r="B16" s="6" t="inlineStr">
        <is>
          <t>NORMAL (0)</t>
        </is>
      </c>
      <c r="C16" s="4" t="n"/>
      <c r="D16" s="4" t="n"/>
    </row>
    <row r="17">
      <c r="A17" s="13" t="inlineStr">
        <is>
          <t>RTEERROR</t>
        </is>
      </c>
      <c r="B17" s="6" t="inlineStr">
        <is>
          <t>NORMAL (0)</t>
        </is>
      </c>
      <c r="C17" s="4" t="n"/>
      <c r="D17" s="4" t="n"/>
    </row>
    <row r="18">
      <c r="A18" s="13" t="inlineStr">
        <is>
          <t>IEC61850ERROR</t>
        </is>
      </c>
      <c r="B18" s="6" t="inlineStr">
        <is>
          <t>NORMAL (0)</t>
        </is>
      </c>
      <c r="C18" s="4" t="n"/>
      <c r="D18" s="4" t="n"/>
    </row>
    <row r="19">
      <c r="A19" s="13" t="inlineStr">
        <is>
          <t>WATCHDOG</t>
        </is>
      </c>
      <c r="B19" s="6" t="inlineStr">
        <is>
          <t>NORMAL (0)</t>
        </is>
      </c>
      <c r="C19" s="4" t="n"/>
      <c r="D19" s="4" t="n"/>
    </row>
    <row r="20">
      <c r="A20" s="13" t="inlineStr">
        <is>
          <t>APPERROR</t>
        </is>
      </c>
      <c r="B20" s="6" t="inlineStr">
        <is>
          <t>NORMAL (0)</t>
        </is>
      </c>
      <c r="C20" s="4" t="n"/>
      <c r="D20" s="4" t="n"/>
    </row>
    <row r="21">
      <c r="A21" s="2" t="inlineStr">
        <is>
          <t>8.2 (cont.)  INTERNAL FAIL CONTACT CHECK</t>
        </is>
      </c>
    </row>
    <row r="22">
      <c r="A22" s="3" t="inlineStr">
        <is>
          <t>INTERNAL FAIL contact (PSM terminal) — measure across contact</t>
        </is>
      </c>
      <c r="B22" s="6" t="inlineStr">
        <is>
          <t>Contact OPEN = IED healthy (de-energised in fault)</t>
        </is>
      </c>
      <c r="C22" s="4" t="n"/>
      <c r="D22" s="4" t="n"/>
    </row>
    <row r="24">
      <c r="A24" s="2" t="inlineStr">
        <is>
          <t>8.3  PLANT RESTORATION</t>
        </is>
      </c>
    </row>
    <row r="25">
      <c r="A25" s="5" t="inlineStr">
        <is>
          <t>Check</t>
        </is>
      </c>
      <c r="B25" s="5" t="inlineStr">
        <is>
          <t>Expected / Action</t>
        </is>
      </c>
      <c r="C25" s="5" t="inlineStr">
        <is>
          <t>Result</t>
        </is>
      </c>
      <c r="D25" s="5" t="inlineStr">
        <is>
          <t>Notes</t>
        </is>
      </c>
    </row>
    <row r="26">
      <c r="A26" s="3" t="inlineStr">
        <is>
          <t>Remove test connections from CT / VT terminals</t>
        </is>
      </c>
      <c r="B26" s="6" t="inlineStr">
        <is>
          <t>Field CTs and VTs reconnected</t>
        </is>
      </c>
      <c r="C26" s="4" t="n"/>
      <c r="D26" s="4" t="n"/>
    </row>
    <row r="27">
      <c r="A27" s="3" t="inlineStr">
        <is>
          <t>Restore control voltage wiring</t>
        </is>
      </c>
      <c r="B27" s="6" t="inlineStr">
        <is>
          <t>All control circuits normal</t>
        </is>
      </c>
      <c r="C27" s="4" t="n"/>
      <c r="D27" s="4" t="n"/>
    </row>
    <row r="28">
      <c r="A28" s="3" t="inlineStr">
        <is>
          <t>Remove CT secondary shorting links — verify not open</t>
        </is>
      </c>
      <c r="B28" s="6" t="inlineStr">
        <is>
          <t>CT circuits intact</t>
        </is>
      </c>
      <c r="C28" s="4" t="n"/>
      <c r="D28" s="4" t="n"/>
    </row>
    <row r="29">
      <c r="A29" s="3" t="inlineStr">
        <is>
          <t>Verify IED measuring load current — LHMI Measurements</t>
        </is>
      </c>
      <c r="B29" s="6" t="inlineStr">
        <is>
          <t>Compare to substation metering</t>
        </is>
      </c>
      <c r="C29" s="4" t="n"/>
      <c r="D29" s="4" t="n"/>
    </row>
    <row r="30">
      <c r="A30" s="3" t="inlineStr">
        <is>
          <t>Differential balance check under load — IOP ≤ 0.05 pu</t>
        </is>
      </c>
      <c r="B30" s="6" t="inlineStr">
        <is>
          <t>T2WPDIF / T3WPDIF IOP confirmed</t>
        </is>
      </c>
      <c r="C30" s="4" t="n"/>
      <c r="D30" s="4" t="n"/>
    </row>
    <row r="31">
      <c r="A31" s="3" t="inlineStr">
        <is>
          <t>SSIMG (SF6) gas pressure normal (if fitted)</t>
        </is>
      </c>
      <c r="B31" s="6" t="inlineStr">
        <is>
          <t>No gas alarm</t>
        </is>
      </c>
      <c r="C31" s="4" t="n"/>
      <c r="D31" s="4" t="n"/>
    </row>
    <row r="32">
      <c r="A32" s="3" t="inlineStr">
        <is>
          <t>SSIML (oil level) normal (if fitted)</t>
        </is>
      </c>
      <c r="B32" s="6" t="inlineStr">
        <is>
          <t>No oil level alarm</t>
        </is>
      </c>
      <c r="C32" s="4" t="n"/>
      <c r="D32" s="4" t="n"/>
    </row>
    <row r="33">
      <c r="A33" s="3" t="inlineStr">
        <is>
          <t>Buchholz / sudden pressure relay reconnected (if isolated)</t>
        </is>
      </c>
      <c r="B33" s="6" t="inlineStr">
        <is>
          <t>Relays restored to service</t>
        </is>
      </c>
      <c r="C33" s="4" t="n"/>
      <c r="D33" s="4" t="n"/>
    </row>
    <row r="34">
      <c r="A34" s="3" t="inlineStr">
        <is>
          <t>Cancel all outstanding LOTO permits</t>
        </is>
      </c>
      <c r="B34" s="6" t="inlineStr">
        <is>
          <t>All permits cleared</t>
        </is>
      </c>
      <c r="C34" s="4" t="n"/>
      <c r="D34" s="4" t="n"/>
    </row>
    <row r="35">
      <c r="A35" s="3" t="inlineStr">
        <is>
          <t>Notify operations — IED returned to service</t>
        </is>
      </c>
      <c r="B35" s="6" t="inlineStr">
        <is>
          <t>Operations informed</t>
        </is>
      </c>
      <c r="C35" s="4" t="n"/>
      <c r="D35" s="4" t="n"/>
    </row>
  </sheetData>
  <mergeCells count="5">
    <mergeCell ref="A1:D1"/>
    <mergeCell ref="A3:D3"/>
    <mergeCell ref="A21:D21"/>
    <mergeCell ref="A24:D24"/>
    <mergeCell ref="A11:D11"/>
  </mergeCells>
  <pageMargins left="0.4" right="0.4" top="0.6" bottom="0.6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20" customWidth="1" min="3" max="3"/>
    <col width="16" customWidth="1" min="4" max="4"/>
  </cols>
  <sheetData>
    <row r="1" ht="26" customHeight="1">
      <c r="A1" s="1" t="inlineStr">
        <is>
          <t>FILES INDEX &amp; SIGN-OFF</t>
        </is>
      </c>
    </row>
    <row r="3">
      <c r="A3" s="2" t="inlineStr">
        <is>
          <t>OVERALL TEST RESULT (from Cover sheet)</t>
        </is>
      </c>
    </row>
    <row r="4">
      <c r="A4" s="13" t="inlineStr">
        <is>
          <t>Signed Overall Result</t>
        </is>
      </c>
      <c r="B4" s="25">
        <f>'1. Cover'!B41</f>
        <v/>
      </c>
      <c r="C4" s="11" t="n"/>
      <c r="D4" s="12" t="n"/>
    </row>
    <row r="6">
      <c r="A6" s="2" t="inlineStr">
        <is>
          <t>TEST ARTEFACTS INDEX</t>
        </is>
      </c>
    </row>
    <row r="7">
      <c r="A7" s="5" t="inlineStr">
        <is>
          <t>Artefact</t>
        </is>
      </c>
      <c r="B7" s="5" t="inlineStr">
        <is>
          <t>File Name / SharePoint Location</t>
        </is>
      </c>
      <c r="C7" s="5" t="inlineStr">
        <is>
          <t>Date Saved</t>
        </is>
      </c>
      <c r="D7" s="5" t="inlineStr">
        <is>
          <t>Notes</t>
        </is>
      </c>
    </row>
    <row r="8">
      <c r="A8" s="3" t="inlineStr">
        <is>
          <t>PCM600 project file (.pcm) — as-left backup</t>
        </is>
      </c>
      <c r="B8" s="4" t="n"/>
      <c r="C8" s="4" t="n"/>
      <c r="D8" s="4" t="n"/>
    </row>
    <row r="9">
      <c r="A9" s="3" t="inlineStr">
        <is>
          <t>Pre-test disturbance records / internal event log</t>
        </is>
      </c>
      <c r="B9" s="4" t="n"/>
      <c r="C9" s="4" t="n"/>
      <c r="D9" s="4" t="n"/>
    </row>
    <row r="10">
      <c r="A10" s="3" t="inlineStr">
        <is>
          <t>Post-test disturbance records</t>
        </is>
      </c>
      <c r="B10" s="4" t="n"/>
      <c r="C10" s="4" t="n"/>
      <c r="D10" s="4" t="n"/>
    </row>
    <row r="11">
      <c r="A11" s="3" t="inlineStr">
        <is>
          <t>Completed results template (this file)</t>
        </is>
      </c>
      <c r="B11" s="4" t="n"/>
      <c r="C11" s="4" t="n"/>
      <c r="D11" s="4" t="n"/>
    </row>
    <row r="12">
      <c r="A12" s="3" t="inlineStr">
        <is>
          <t>Oscillography / disturbance records</t>
        </is>
      </c>
      <c r="B12" s="4" t="n"/>
      <c r="C12" s="4" t="n"/>
      <c r="D12" s="4" t="n"/>
    </row>
    <row r="13">
      <c r="A13" s="3" t="inlineStr">
        <is>
          <t>Photographs / site notes</t>
        </is>
      </c>
      <c r="B13" s="4" t="n"/>
      <c r="C13" s="4" t="n"/>
      <c r="D13" s="4" t="n"/>
    </row>
    <row r="15">
      <c r="A15" s="2" t="inlineStr">
        <is>
          <t>DEFECTS / FINDINGS LOG</t>
        </is>
      </c>
    </row>
    <row r="16">
      <c r="A16" s="5" t="inlineStr">
        <is>
          <t>#</t>
        </is>
      </c>
      <c r="B16" s="5" t="inlineStr">
        <is>
          <t>Defect Description</t>
        </is>
      </c>
      <c r="C16" s="5" t="inlineStr">
        <is>
          <t>Action Taken / Work Order</t>
        </is>
      </c>
      <c r="D16" s="5" t="inlineStr">
        <is>
          <t>Closed</t>
        </is>
      </c>
    </row>
    <row r="17">
      <c r="A17" s="26" t="n">
        <v>1</v>
      </c>
      <c r="B17" s="4" t="n"/>
      <c r="C17" s="4" t="n"/>
      <c r="D17" s="4" t="n"/>
    </row>
    <row r="18">
      <c r="A18" s="26" t="n">
        <v>2</v>
      </c>
      <c r="B18" s="4" t="n"/>
      <c r="C18" s="4" t="n"/>
      <c r="D18" s="4" t="n"/>
    </row>
    <row r="19">
      <c r="A19" s="26" t="n">
        <v>3</v>
      </c>
      <c r="B19" s="4" t="n"/>
      <c r="C19" s="4" t="n"/>
      <c r="D19" s="4" t="n"/>
    </row>
    <row r="20">
      <c r="A20" s="26" t="n">
        <v>4</v>
      </c>
      <c r="B20" s="4" t="n"/>
      <c r="C20" s="4" t="n"/>
      <c r="D20" s="4" t="n"/>
    </row>
    <row r="21">
      <c r="A21" s="26" t="n">
        <v>5</v>
      </c>
      <c r="B21" s="4" t="n"/>
      <c r="C21" s="4" t="n"/>
      <c r="D21" s="4" t="n"/>
    </row>
    <row r="22">
      <c r="A22" s="26" t="n">
        <v>6</v>
      </c>
      <c r="B22" s="4" t="n"/>
      <c r="C22" s="4" t="n"/>
      <c r="D22" s="4" t="n"/>
    </row>
    <row r="24">
      <c r="A24" s="2" t="inlineStr">
        <is>
          <t>SIGN-OFF</t>
        </is>
      </c>
    </row>
    <row r="25">
      <c r="A25" s="5" t="inlineStr">
        <is>
          <t>Role</t>
        </is>
      </c>
      <c r="B25" s="5" t="inlineStr">
        <is>
          <t>Name (print)</t>
        </is>
      </c>
      <c r="C25" s="5" t="inlineStr">
        <is>
          <t>Signature</t>
        </is>
      </c>
      <c r="D25" s="5" t="inlineStr">
        <is>
          <t>Date</t>
        </is>
      </c>
    </row>
    <row r="26" ht="28" customHeight="1">
      <c r="A26" s="13" t="inlineStr">
        <is>
          <t>Test Engineer</t>
        </is>
      </c>
      <c r="B26" s="4" t="n"/>
      <c r="C26" s="4" t="n"/>
      <c r="D26" s="4" t="n"/>
    </row>
    <row r="27" ht="28" customHeight="1">
      <c r="A27" s="13" t="inlineStr">
        <is>
          <t>Witness (Operations)</t>
        </is>
      </c>
      <c r="B27" s="4" t="n"/>
      <c r="C27" s="4" t="n"/>
      <c r="D27" s="4" t="n"/>
    </row>
    <row r="28" ht="28" customHeight="1">
      <c r="A28" s="13" t="inlineStr">
        <is>
          <t>Approving Engineer</t>
        </is>
      </c>
      <c r="B28" s="4" t="n"/>
      <c r="C28" s="4" t="n"/>
      <c r="D28" s="4" t="n"/>
    </row>
  </sheetData>
  <mergeCells count="6">
    <mergeCell ref="A1:D1"/>
    <mergeCell ref="A6:D6"/>
    <mergeCell ref="A3:D3"/>
    <mergeCell ref="B4:D4"/>
    <mergeCell ref="A15:D15"/>
    <mergeCell ref="A24:D24"/>
  </mergeCells>
  <pageMargins left="0.4" right="0.4" top="0.6" bottom="0.6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2026-06-02T00:00:49Z</dcterms:created>
  <dcterms:modified xmlns:dcterms="http://purl.org/dc/terms/" xmlns:xsi="http://www.w3.org/2001/XMLSchema-instance" xsi:type="dcterms:W3CDTF">2026-06-02T00:00:49Z</dcterms:modified>
</cp:coreProperties>
</file>